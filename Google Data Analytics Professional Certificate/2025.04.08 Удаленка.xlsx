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C:\Users\GudievZK\Downloads\"/>
    </mc:Choice>
  </mc:AlternateContent>
  <xr:revisionPtr revIDLastSave="0" documentId="8_{41F0643F-E896-4E44-8BC9-6C0A95CEEB51}" xr6:coauthVersionLast="47" xr6:coauthVersionMax="47" xr10:uidLastSave="{00000000-0000-0000-0000-000000000000}"/>
  <bookViews>
    <workbookView xWindow="-120" yWindow="-120" windowWidth="29040" windowHeight="15720" tabRatio="691" xr2:uid="{00000000-000D-0000-FFFF-FFFF00000000}"/>
  </bookViews>
  <sheets>
    <sheet name="remote_work" sheetId="5" r:id="rId1"/>
    <sheet name="Для ОПО" sheetId="8" r:id="rId2"/>
    <sheet name="remote_work (отдел кадров)" sheetId="7" r:id="rId3"/>
    <sheet name="Тамерлан (удаленка)" sheetId="6" r:id="rId4"/>
    <sheet name="staffing_table" sheetId="3" r:id="rId5"/>
    <sheet name="staffing_table_source_data"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9" i="3" l="1"/>
  <c r="J77" i="3"/>
  <c r="J53"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4" i="3"/>
  <c r="J55" i="3"/>
  <c r="J56" i="3"/>
  <c r="J57" i="3"/>
  <c r="J58" i="3"/>
  <c r="J59" i="3"/>
  <c r="J60" i="3"/>
  <c r="J61" i="3"/>
  <c r="J62" i="3"/>
  <c r="J63" i="3"/>
  <c r="J64" i="3"/>
  <c r="J65" i="3"/>
  <c r="J66" i="3"/>
  <c r="J67" i="3"/>
  <c r="J68" i="3"/>
  <c r="J69" i="3"/>
  <c r="J70" i="3"/>
  <c r="J71" i="3"/>
  <c r="J72" i="3"/>
  <c r="J73" i="3"/>
  <c r="J74" i="3"/>
  <c r="J75" i="3"/>
  <c r="J76" i="3"/>
  <c r="J78" i="3"/>
  <c r="J80" i="3"/>
  <c r="J81" i="3"/>
  <c r="J82" i="3"/>
  <c r="J83" i="3"/>
  <c r="J84" i="3"/>
  <c r="J85" i="3"/>
  <c r="J86" i="3"/>
  <c r="J87" i="3"/>
  <c r="J88" i="3"/>
  <c r="J89" i="3"/>
  <c r="J90" i="3"/>
  <c r="J91" i="3"/>
  <c r="J92" i="3"/>
</calcChain>
</file>

<file path=xl/sharedStrings.xml><?xml version="1.0" encoding="utf-8"?>
<sst xmlns="http://schemas.openxmlformats.org/spreadsheetml/2006/main" count="1571" uniqueCount="519">
  <si>
    <t>Имя</t>
  </si>
  <si>
    <t>Фамилия</t>
  </si>
  <si>
    <t>Юлия</t>
  </si>
  <si>
    <t>Долудо</t>
  </si>
  <si>
    <t>89</t>
  </si>
  <si>
    <t>Валерия</t>
  </si>
  <si>
    <t>Евгений</t>
  </si>
  <si>
    <t>Моисеев</t>
  </si>
  <si>
    <t>749</t>
  </si>
  <si>
    <t>Александр</t>
  </si>
  <si>
    <t>Минин</t>
  </si>
  <si>
    <t>739</t>
  </si>
  <si>
    <t>Олег</t>
  </si>
  <si>
    <t>Морунов</t>
  </si>
  <si>
    <t>641</t>
  </si>
  <si>
    <t>Наталия</t>
  </si>
  <si>
    <t>Плющева</t>
  </si>
  <si>
    <t>637</t>
  </si>
  <si>
    <t>Татьяна</t>
  </si>
  <si>
    <t>Кольчинская</t>
  </si>
  <si>
    <t>629</t>
  </si>
  <si>
    <t>Дарья</t>
  </si>
  <si>
    <t>Першина</t>
  </si>
  <si>
    <t>515</t>
  </si>
  <si>
    <t>Марк</t>
  </si>
  <si>
    <t>Степанян</t>
  </si>
  <si>
    <t>447</t>
  </si>
  <si>
    <t>Ангелина</t>
  </si>
  <si>
    <t>Клюева</t>
  </si>
  <si>
    <t>443</t>
  </si>
  <si>
    <t>Анна</t>
  </si>
  <si>
    <t>Кузнецова</t>
  </si>
  <si>
    <t>426</t>
  </si>
  <si>
    <t>Екатерина</t>
  </si>
  <si>
    <t>Сафоненкова</t>
  </si>
  <si>
    <t>408</t>
  </si>
  <si>
    <t>Мария</t>
  </si>
  <si>
    <t>Чурсина</t>
  </si>
  <si>
    <t>381</t>
  </si>
  <si>
    <t>Иван</t>
  </si>
  <si>
    <t>Лепаев</t>
  </si>
  <si>
    <t>366</t>
  </si>
  <si>
    <t>Наталья</t>
  </si>
  <si>
    <t>Куркина</t>
  </si>
  <si>
    <t>358</t>
  </si>
  <si>
    <t>Зелимхан</t>
  </si>
  <si>
    <t>Гудиев</t>
  </si>
  <si>
    <t>351</t>
  </si>
  <si>
    <t>Алия</t>
  </si>
  <si>
    <t>Муратова</t>
  </si>
  <si>
    <t>346</t>
  </si>
  <si>
    <t>Арсен</t>
  </si>
  <si>
    <t>Ибрагимов</t>
  </si>
  <si>
    <t>334</t>
  </si>
  <si>
    <t>Ульяна</t>
  </si>
  <si>
    <t>Селищева</t>
  </si>
  <si>
    <t>330</t>
  </si>
  <si>
    <t>Коровина</t>
  </si>
  <si>
    <t>329</t>
  </si>
  <si>
    <t>Анастасия</t>
  </si>
  <si>
    <t>Афонина</t>
  </si>
  <si>
    <t>327</t>
  </si>
  <si>
    <t>Ильнар</t>
  </si>
  <si>
    <t>Давлиев</t>
  </si>
  <si>
    <t>319</t>
  </si>
  <si>
    <t>Варвара</t>
  </si>
  <si>
    <t>Толкачева</t>
  </si>
  <si>
    <t>318</t>
  </si>
  <si>
    <t>Бушмакина</t>
  </si>
  <si>
    <t>312</t>
  </si>
  <si>
    <t>Яна</t>
  </si>
  <si>
    <t>Желтова</t>
  </si>
  <si>
    <t>31</t>
  </si>
  <si>
    <t>Вадим</t>
  </si>
  <si>
    <t>306</t>
  </si>
  <si>
    <t>Светлана</t>
  </si>
  <si>
    <t>Бутасова</t>
  </si>
  <si>
    <t>305</t>
  </si>
  <si>
    <t>Андрей</t>
  </si>
  <si>
    <t>Столянков</t>
  </si>
  <si>
    <t>30</t>
  </si>
  <si>
    <t>Дмитрий</t>
  </si>
  <si>
    <t>Скосирский</t>
  </si>
  <si>
    <t>298</t>
  </si>
  <si>
    <t>Негодов</t>
  </si>
  <si>
    <t>295</t>
  </si>
  <si>
    <t>Уфаркина</t>
  </si>
  <si>
    <t>287</t>
  </si>
  <si>
    <t>Нигина</t>
  </si>
  <si>
    <t>Давлиева</t>
  </si>
  <si>
    <t>239</t>
  </si>
  <si>
    <t>Алексей</t>
  </si>
  <si>
    <t>Баранов</t>
  </si>
  <si>
    <t>229</t>
  </si>
  <si>
    <t>Спицына</t>
  </si>
  <si>
    <t>210</t>
  </si>
  <si>
    <t>Дергунов</t>
  </si>
  <si>
    <t>201</t>
  </si>
  <si>
    <t>Эльдар</t>
  </si>
  <si>
    <t>Салаватов</t>
  </si>
  <si>
    <t>163</t>
  </si>
  <si>
    <t>Ирина</t>
  </si>
  <si>
    <t>Бекхан</t>
  </si>
  <si>
    <t>Магамгазиев</t>
  </si>
  <si>
    <t>1415</t>
  </si>
  <si>
    <t>Виктор</t>
  </si>
  <si>
    <t>Козин</t>
  </si>
  <si>
    <t>1404</t>
  </si>
  <si>
    <t>Антон</t>
  </si>
  <si>
    <t>Самойленко</t>
  </si>
  <si>
    <t>13</t>
  </si>
  <si>
    <t>Быреева</t>
  </si>
  <si>
    <t>1271</t>
  </si>
  <si>
    <t>Ольга</t>
  </si>
  <si>
    <t>Лебедева</t>
  </si>
  <si>
    <t>1270</t>
  </si>
  <si>
    <t>Полуденный</t>
  </si>
  <si>
    <t>1203</t>
  </si>
  <si>
    <t>Полина</t>
  </si>
  <si>
    <t>Белогурова</t>
  </si>
  <si>
    <t>1190</t>
  </si>
  <si>
    <t>Мурад</t>
  </si>
  <si>
    <t>Кагерманов</t>
  </si>
  <si>
    <t>1177</t>
  </si>
  <si>
    <t>Казеева</t>
  </si>
  <si>
    <t>1147</t>
  </si>
  <si>
    <t>Марат</t>
  </si>
  <si>
    <t>Букешев</t>
  </si>
  <si>
    <t>1100</t>
  </si>
  <si>
    <t>Елена</t>
  </si>
  <si>
    <t>Осипенкова</t>
  </si>
  <si>
    <t>1057</t>
  </si>
  <si>
    <t>Салават</t>
  </si>
  <si>
    <t>Шакиров</t>
  </si>
  <si>
    <t>1000</t>
  </si>
  <si>
    <t xml:space="preserve">Управление стандартизации </t>
  </si>
  <si>
    <t>начальник управления</t>
  </si>
  <si>
    <t>Гудиев Зелимхан Куйраевич</t>
  </si>
  <si>
    <t>02.11.2018</t>
  </si>
  <si>
    <t>заместитель начальника управления</t>
  </si>
  <si>
    <t>Давлиев Ильнар Газинурович</t>
  </si>
  <si>
    <t>06.06.2018</t>
  </si>
  <si>
    <t>Кагерманов Мурад Мухидович</t>
  </si>
  <si>
    <t>01.09.2022</t>
  </si>
  <si>
    <t>Чурсина Мария Вячеславовна</t>
  </si>
  <si>
    <t>17.06.2019</t>
  </si>
  <si>
    <t>Итого по отделу</t>
  </si>
  <si>
    <t>Проектно-аналитический отдел</t>
  </si>
  <si>
    <t>начальник отдела</t>
  </si>
  <si>
    <t>Елонова Юлия Станиславовна</t>
  </si>
  <si>
    <t>22.02.2022</t>
  </si>
  <si>
    <t>главный эксперт</t>
  </si>
  <si>
    <t>Чумакова Ирина Вадимовна</t>
  </si>
  <si>
    <t>главный специалист</t>
  </si>
  <si>
    <t>Туркина Наталья Александровна</t>
  </si>
  <si>
    <t>04.05.2022</t>
  </si>
  <si>
    <t>Логинова Марина Юрьевна</t>
  </si>
  <si>
    <t xml:space="preserve">Степанова Марина Алексеевна   </t>
  </si>
  <si>
    <t>27.11.2023</t>
  </si>
  <si>
    <t>Отдел формирования и ведения типовой документации 1</t>
  </si>
  <si>
    <t>Минин Александр Валерьевич</t>
  </si>
  <si>
    <t>01.06.2021</t>
  </si>
  <si>
    <t>заместитель начальника отдела</t>
  </si>
  <si>
    <t xml:space="preserve">Клюева Ангелина Эдуардовна                </t>
  </si>
  <si>
    <t>03.10.2019</t>
  </si>
  <si>
    <t>Егоров Вячеслав Игоревич</t>
  </si>
  <si>
    <t>06.04.2022</t>
  </si>
  <si>
    <t>Ермолаева Мария Леонтьевна</t>
  </si>
  <si>
    <t>16.02.2015</t>
  </si>
  <si>
    <t>Лебедева Ольга Ивановна</t>
  </si>
  <si>
    <t>11.04.2023</t>
  </si>
  <si>
    <t xml:space="preserve">Букешев Марат Адылбекович </t>
  </si>
  <si>
    <t>02.03.2022</t>
  </si>
  <si>
    <t>Жунова Анастасия Владимировна   (ОУР 19.10.2022 - 12.08.2025)</t>
  </si>
  <si>
    <t>             04.05.2021</t>
  </si>
  <si>
    <t>Отдел формирования и ведения типовой документации 2</t>
  </si>
  <si>
    <t>Коровина Анна Анатольевна</t>
  </si>
  <si>
    <t>06.08.2018</t>
  </si>
  <si>
    <t xml:space="preserve">Морунов Олег Александрович </t>
  </si>
  <si>
    <t>28.09.2020</t>
  </si>
  <si>
    <t>Белогурова Полина Алексеевна</t>
  </si>
  <si>
    <t>04.10.2022</t>
  </si>
  <si>
    <t>Осипенкова Елена Владимировна</t>
  </si>
  <si>
    <t>08.11.2021</t>
  </si>
  <si>
    <t>Горбачева Ольга Николаевна</t>
  </si>
  <si>
    <t>14.08.2024</t>
  </si>
  <si>
    <t>Старинков Роман Альбертович</t>
  </si>
  <si>
    <t>26.06.2017</t>
  </si>
  <si>
    <t>Отдел формирования и ведения типовой документации 3</t>
  </si>
  <si>
    <t>Уфаркина Наталья Геннадьевна</t>
  </si>
  <si>
    <t>04.12.2017</t>
  </si>
  <si>
    <t>Полуденный Андрей Викторович</t>
  </si>
  <si>
    <t>28.10.2022</t>
  </si>
  <si>
    <t>Першина Дарья Валерьевна</t>
  </si>
  <si>
    <t>20.01.2020</t>
  </si>
  <si>
    <t>Рыбина Дарья Сергеевна</t>
  </si>
  <si>
    <t>19.08.2024</t>
  </si>
  <si>
    <t xml:space="preserve">Козлова Елена Ивановна                       Тыщенко Юлия Андреевна                     (ОУР 07.02.2024-05.11.2026) </t>
  </si>
  <si>
    <t>22.04.2024    14.12.2020</t>
  </si>
  <si>
    <t>Отдел формирования и ведения типовой документации 4</t>
  </si>
  <si>
    <t xml:space="preserve">Бутасова Светлана Валерьевна              </t>
  </si>
  <si>
    <t>06.04.2018</t>
  </si>
  <si>
    <t xml:space="preserve">Желтова Яна Валерьевна </t>
  </si>
  <si>
    <t>02.09.2013</t>
  </si>
  <si>
    <t>Спицына Наталья Владимировна</t>
  </si>
  <si>
    <t>23.06.2016</t>
  </si>
  <si>
    <t>Соколова Виктория Вадимовна</t>
  </si>
  <si>
    <t>05.09.2022</t>
  </si>
  <si>
    <t>Куркина Наталья Витальевна</t>
  </si>
  <si>
    <t>18.01.2019</t>
  </si>
  <si>
    <t xml:space="preserve">Казеева Татьяна Петровна    </t>
  </si>
  <si>
    <t>04.07.2022</t>
  </si>
  <si>
    <t>Отдел формирования и ведения типовой документации 5</t>
  </si>
  <si>
    <t xml:space="preserve">Давлиева Нигина Хикматджановна                   </t>
  </si>
  <si>
    <t>22.02.2017</t>
  </si>
  <si>
    <t>Моисеев Евгений Александрович</t>
  </si>
  <si>
    <t>21.06.2021</t>
  </si>
  <si>
    <t>Степанян Марк Маратович</t>
  </si>
  <si>
    <t>07.10.2019</t>
  </si>
  <si>
    <t>Шакиров Салават Ахматгаянович</t>
  </si>
  <si>
    <t>17.08.2021</t>
  </si>
  <si>
    <t>Нартова Арина Андреевна</t>
  </si>
  <si>
    <t>02.05.2024</t>
  </si>
  <si>
    <t>Россихина Анастасия Андреевна (ОБиР 24.12.2024-11.05.2025</t>
  </si>
  <si>
    <t>05.07.2022</t>
  </si>
  <si>
    <t>Отдел формирования и ведения типовой документации 6</t>
  </si>
  <si>
    <t>Воробьев Вадим Владимирович</t>
  </si>
  <si>
    <t>09.04.2018</t>
  </si>
  <si>
    <t>Бушмакина Дарья Владимировна</t>
  </si>
  <si>
    <t>25.04.2018</t>
  </si>
  <si>
    <t>Козин Виктор Владимирович</t>
  </si>
  <si>
    <t>19.02.2024</t>
  </si>
  <si>
    <t xml:space="preserve">Афонина Анастасия Евгеньевна      </t>
  </si>
  <si>
    <t> 23.07.2018</t>
  </si>
  <si>
    <t>Панкин Виктор Алексеевич</t>
  </si>
  <si>
    <t>02.09.2019</t>
  </si>
  <si>
    <t>специалист</t>
  </si>
  <si>
    <t>Магамгазиев Бекхан Расулаевич</t>
  </si>
  <si>
    <t>29.03.2024</t>
  </si>
  <si>
    <t>Отдел формирования и ведения типовой документации 7</t>
  </si>
  <si>
    <t>Самойленко Антон Олегович</t>
  </si>
  <si>
    <t>01.07.2013</t>
  </si>
  <si>
    <t>Салаватов Эльдар Измитдинович</t>
  </si>
  <si>
    <t>01.06.2015</t>
  </si>
  <si>
    <t>Дергунов Дмитрий Александрович</t>
  </si>
  <si>
    <t>09.03.2016</t>
  </si>
  <si>
    <t>Кузнецова Ирина Валентиновна</t>
  </si>
  <si>
    <t xml:space="preserve">Кольчинская Татьяна Вячеславовна </t>
  </si>
  <si>
    <t>09.09.2020</t>
  </si>
  <si>
    <t>Барышев Андрей Александрович</t>
  </si>
  <si>
    <t>06.07.2020</t>
  </si>
  <si>
    <t>Отдел формирования и ведения типовой документации 8</t>
  </si>
  <si>
    <t>Негодов Андрей Владимирович</t>
  </si>
  <si>
    <t>12.02.2018</t>
  </si>
  <si>
    <t>Баранов Алексей Александрович</t>
  </si>
  <si>
    <t>27.12.2016</t>
  </si>
  <si>
    <t>Ибрагимов Арсен Леонидович</t>
  </si>
  <si>
    <t>03.09.2018</t>
  </si>
  <si>
    <t>Скосирский Дмитрий Владимирович</t>
  </si>
  <si>
    <t>02.03.2018</t>
  </si>
  <si>
    <t>Селищева Ульяна Васильевна</t>
  </si>
  <si>
    <t>15.08.2018</t>
  </si>
  <si>
    <t xml:space="preserve">Томашук Анна Владимировна </t>
  </si>
  <si>
    <t>05.05.2022</t>
  </si>
  <si>
    <t>Отдел информационно-аналитического и методического обеспечения</t>
  </si>
  <si>
    <t>Быреева Наталья Сергеевна</t>
  </si>
  <si>
    <t>12.04.2023</t>
  </si>
  <si>
    <t>Одинарцева Валерия Евгеньевна</t>
  </si>
  <si>
    <t>03.03.2014</t>
  </si>
  <si>
    <t xml:space="preserve">Шугунов Тимур Лионович </t>
  </si>
  <si>
    <t>19.08.2019</t>
  </si>
  <si>
    <t>Макарова Татьяна Витальевна</t>
  </si>
  <si>
    <t>13.06.2019</t>
  </si>
  <si>
    <t>Сафоненкова Екатерина Александровна</t>
  </si>
  <si>
    <t>13.08.2019</t>
  </si>
  <si>
    <t>Муратова Алия Ильдаровна</t>
  </si>
  <si>
    <t>15.10.2018</t>
  </si>
  <si>
    <t>Толкачева Варвара Сергеевна</t>
  </si>
  <si>
    <t>04.06.2018</t>
  </si>
  <si>
    <t>Отдел ведения классификаторов, реестров и справочников</t>
  </si>
  <si>
    <t>Столянков Андрей Владиславович</t>
  </si>
  <si>
    <t>06.08.2013</t>
  </si>
  <si>
    <t>Долудо Юлия Борисовна</t>
  </si>
  <si>
    <t>01.05.2014</t>
  </si>
  <si>
    <t>Кузнецова Анна Сергеевна</t>
  </si>
  <si>
    <t>13.09.2019</t>
  </si>
  <si>
    <t>Хайруллина Гульнара Хайдяровна</t>
  </si>
  <si>
    <t>16.01.2023</t>
  </si>
  <si>
    <t>Лепаев Иван Александрович</t>
  </si>
  <si>
    <t>25.02.2019</t>
  </si>
  <si>
    <t>Плющева Наталия Михайловна</t>
  </si>
  <si>
    <t>22.09.2020</t>
  </si>
  <si>
    <t>Итого по Управлению</t>
  </si>
  <si>
    <t>Подразделение</t>
  </si>
  <si>
    <t>Должность</t>
  </si>
  <si>
    <t>ФИО работника</t>
  </si>
  <si>
    <t>Дата приема на работу</t>
  </si>
  <si>
    <t>Грейд</t>
  </si>
  <si>
    <t>Количество</t>
  </si>
  <si>
    <t>Куйраевич</t>
  </si>
  <si>
    <t>Газинурович</t>
  </si>
  <si>
    <t>Мухидович</t>
  </si>
  <si>
    <t>Вячеславовна</t>
  </si>
  <si>
    <t>Елонова</t>
  </si>
  <si>
    <t>Станиславовна</t>
  </si>
  <si>
    <t>Чумакова</t>
  </si>
  <si>
    <t>Вадимовна</t>
  </si>
  <si>
    <t>Туркина</t>
  </si>
  <si>
    <t>Александровна</t>
  </si>
  <si>
    <t>Логинова</t>
  </si>
  <si>
    <t>Марина</t>
  </si>
  <si>
    <t>Юрьевна</t>
  </si>
  <si>
    <t>Степанова</t>
  </si>
  <si>
    <t>Алексеевна  </t>
  </si>
  <si>
    <t>Валерьевич</t>
  </si>
  <si>
    <t>Эдуардовна               </t>
  </si>
  <si>
    <t>Егоров</t>
  </si>
  <si>
    <t>Вячеслав</t>
  </si>
  <si>
    <t>Игоревич</t>
  </si>
  <si>
    <t>Ермолаева</t>
  </si>
  <si>
    <t>Леонтьевна</t>
  </si>
  <si>
    <t>Ивановна</t>
  </si>
  <si>
    <t>Адылбекович</t>
  </si>
  <si>
    <t>Жунова</t>
  </si>
  <si>
    <t>Владимировна</t>
  </si>
  <si>
    <t>Анатольевна</t>
  </si>
  <si>
    <t>Александрович</t>
  </si>
  <si>
    <t>Алексеевна</t>
  </si>
  <si>
    <t>Горбачева</t>
  </si>
  <si>
    <t>Николаевна</t>
  </si>
  <si>
    <t>Старинков</t>
  </si>
  <si>
    <t>Роман</t>
  </si>
  <si>
    <t>Альбертович</t>
  </si>
  <si>
    <t>Геннадьевна</t>
  </si>
  <si>
    <t>Викторович</t>
  </si>
  <si>
    <t>Валерьевна</t>
  </si>
  <si>
    <t>Рыбина</t>
  </si>
  <si>
    <t>Сергеевна</t>
  </si>
  <si>
    <t>Козлова</t>
  </si>
  <si>
    <t>Валерьевна             </t>
  </si>
  <si>
    <t>Соколова</t>
  </si>
  <si>
    <t>Виктория</t>
  </si>
  <si>
    <t>Витальевна</t>
  </si>
  <si>
    <t>Петровна   </t>
  </si>
  <si>
    <t>Хикматджановна                  </t>
  </si>
  <si>
    <t>Маратович</t>
  </si>
  <si>
    <t>Ахматгаянович</t>
  </si>
  <si>
    <t>Нартова</t>
  </si>
  <si>
    <t>Арина</t>
  </si>
  <si>
    <t>Андреевна</t>
  </si>
  <si>
    <t>Россихина</t>
  </si>
  <si>
    <t>Воробьев</t>
  </si>
  <si>
    <t>Владимирович</t>
  </si>
  <si>
    <t>Евгеньевна     </t>
  </si>
  <si>
    <t>Панкин</t>
  </si>
  <si>
    <t>Алексеевич</t>
  </si>
  <si>
    <t>Расулаевич</t>
  </si>
  <si>
    <t>Олегович</t>
  </si>
  <si>
    <t>Измитдинович</t>
  </si>
  <si>
    <t>Валентиновна</t>
  </si>
  <si>
    <t>Барышев</t>
  </si>
  <si>
    <t>Леонидович</t>
  </si>
  <si>
    <t>Васильевна</t>
  </si>
  <si>
    <t>Томашук</t>
  </si>
  <si>
    <t>Одинарцева</t>
  </si>
  <si>
    <t>Евгеньевна</t>
  </si>
  <si>
    <t>Шугунов</t>
  </si>
  <si>
    <t>Тимур</t>
  </si>
  <si>
    <t>Лионович</t>
  </si>
  <si>
    <t>Макарова</t>
  </si>
  <si>
    <t>Ильдаровна</t>
  </si>
  <si>
    <t>Владиславович</t>
  </si>
  <si>
    <t>Борисовна</t>
  </si>
  <si>
    <t>Хайруллина</t>
  </si>
  <si>
    <t>Гульнара</t>
  </si>
  <si>
    <t>Хайдяровна</t>
  </si>
  <si>
    <t>Михайловна</t>
  </si>
  <si>
    <t>Отчество</t>
  </si>
  <si>
    <t>ID</t>
  </si>
  <si>
    <t>ID2</t>
  </si>
  <si>
    <t>УС</t>
  </si>
  <si>
    <t>ПА</t>
  </si>
  <si>
    <t>ФиВТД1</t>
  </si>
  <si>
    <t>ФиВТД2</t>
  </si>
  <si>
    <t>ФиВТД4</t>
  </si>
  <si>
    <t>ФиВТД3</t>
  </si>
  <si>
    <t>ФиВТД5</t>
  </si>
  <si>
    <t>ФиВТД6</t>
  </si>
  <si>
    <t>ФиВТД7</t>
  </si>
  <si>
    <t>ФиВТД8</t>
  </si>
  <si>
    <t>ИАиМО</t>
  </si>
  <si>
    <t>ФиВКРиС</t>
  </si>
  <si>
    <t>04.05.2021</t>
  </si>
  <si>
    <t>Подразделение_сокр</t>
  </si>
  <si>
    <t>Формат работы</t>
  </si>
  <si>
    <t>Сотрудник</t>
  </si>
  <si>
    <t>Наименование подразделения</t>
  </si>
  <si>
    <t>Бутасова Светлана Валерьевна (осн.декр.)</t>
  </si>
  <si>
    <t>Управление стандартизации</t>
  </si>
  <si>
    <t>нет</t>
  </si>
  <si>
    <t>Оформляем временный</t>
  </si>
  <si>
    <t>Давлиева Нигина Хикматджановна (осн.)</t>
  </si>
  <si>
    <t>Желтова Яна Валерьевна</t>
  </si>
  <si>
    <t>постоянно</t>
  </si>
  <si>
    <t>Должен быть временный</t>
  </si>
  <si>
    <t>Клюева Ангелина Эдуардовна (осн.)</t>
  </si>
  <si>
    <t>до 04.08.2026</t>
  </si>
  <si>
    <t>Кольчинская Татьяна Вячеславовна (осн.)</t>
  </si>
  <si>
    <t>до 31.08.2026</t>
  </si>
  <si>
    <t>до 25.02.2025</t>
  </si>
  <si>
    <t>Макарова Татьяна Витальевна (осн.)</t>
  </si>
  <si>
    <t>Муратова Алия Ильдаровна (осн.)</t>
  </si>
  <si>
    <t>Одинарцева Валерия Евгеньевна  (осн.)</t>
  </si>
  <si>
    <t>Осипенкова Елена Владимировна (осн.)</t>
  </si>
  <si>
    <t>Сафоненкова Екатерина Александровна (осн.)</t>
  </si>
  <si>
    <t>Селищева Ульяна Васильевна (осн.)</t>
  </si>
  <si>
    <t>Спицына Наталья Владимировна (осн.)</t>
  </si>
  <si>
    <t>Толкачева Варвара Сергеевна (осн.)</t>
  </si>
  <si>
    <t>до 11.12.2024</t>
  </si>
  <si>
    <t>Шугунов Тимур Лионович (осн.)</t>
  </si>
  <si>
    <t>Фамимлия</t>
  </si>
  <si>
    <t>Хикматджановна</t>
  </si>
  <si>
    <t>Эдуардовна</t>
  </si>
  <si>
    <t>Удаленка</t>
  </si>
  <si>
    <t>Начальник отдела</t>
  </si>
  <si>
    <t>Курирующий заместитель</t>
  </si>
  <si>
    <t>Заключение</t>
  </si>
  <si>
    <t>Временно</t>
  </si>
  <si>
    <t>?</t>
  </si>
  <si>
    <t>Постоянно</t>
  </si>
  <si>
    <t>Срок временной удаленки</t>
  </si>
  <si>
    <t>Предлагаемый срок временной удаленки</t>
  </si>
  <si>
    <t>до 01.10.2025</t>
  </si>
  <si>
    <t>до 15.04.2025</t>
  </si>
  <si>
    <t>Предлагаемое решение</t>
  </si>
  <si>
    <t>Комментарий Маши</t>
  </si>
  <si>
    <t>отложить решение на несколько недель</t>
  </si>
  <si>
    <t>Муратова Алия Ильдаровна - ?</t>
  </si>
  <si>
    <t>Сафоненкова Екатерина Александровна - ?</t>
  </si>
  <si>
    <t>Шугунов Тимур Лионович </t>
  </si>
  <si>
    <t>6 месяцев</t>
  </si>
  <si>
    <t>Кольчинская Татьяна Вячеславовна</t>
  </si>
  <si>
    <t>до 01.11.2024</t>
  </si>
  <si>
    <t xml:space="preserve">Степанян Марк Маратович </t>
  </si>
  <si>
    <t>Клюева Ангелина Эдуардовна</t>
  </si>
  <si>
    <t>Хуснутдинова Альбина Ильсуровна</t>
  </si>
  <si>
    <t>Бутасова Светлана Валерьевна</t>
  </si>
  <si>
    <t>Давлиева Нигина Хикматджановна</t>
  </si>
  <si>
    <t>Выводим потихоньку</t>
  </si>
  <si>
    <t>Выводим потихоньку?</t>
  </si>
  <si>
    <t>Срочно вывести</t>
  </si>
  <si>
    <t>Подумать о выводе. Выяснить загрузку</t>
  </si>
  <si>
    <t>Выводим потихоньку? Поговорить с Машей. Понять загрузку.</t>
  </si>
  <si>
    <t>Принять решение исходя из состояния здоровья</t>
  </si>
  <si>
    <t>Критерии</t>
  </si>
  <si>
    <t>ЗП</t>
  </si>
  <si>
    <t>Не взаимодействует</t>
  </si>
  <si>
    <t>Здоровье</t>
  </si>
  <si>
    <t>Семья и дети</t>
  </si>
  <si>
    <t>Мимо руководителя в отдел кадров не ходить. Сказать это Гузель.</t>
  </si>
  <si>
    <t>Обсудить с Гузель расхождение с Тамерланом. Выяснить причину расхождений. Как это исправить.</t>
  </si>
  <si>
    <t>Фактический формат работы</t>
  </si>
  <si>
    <t>В офисе</t>
  </si>
  <si>
    <t>Информация о сроке работы в удаленном формате согласно информации отдела кадров</t>
  </si>
  <si>
    <t>Информация об удаленном формате работы согласно  информации отдела кадров</t>
  </si>
  <si>
    <t>Информация о сроке работы в удаленном формате согласно информации от Тамерлана</t>
  </si>
  <si>
    <t>Причина удаленки</t>
  </si>
  <si>
    <t>Ребенок</t>
  </si>
  <si>
    <t>Болезнь отца</t>
  </si>
  <si>
    <t>Не взаимодействует на постоянной основе с коммандой</t>
  </si>
  <si>
    <t>Состояние здоровья</t>
  </si>
  <si>
    <t>Учеба</t>
  </si>
  <si>
    <t>Год рождения ребенка</t>
  </si>
  <si>
    <t>02.05.2023</t>
  </si>
  <si>
    <t>06.07.2018</t>
  </si>
  <si>
    <t>17.10.2020</t>
  </si>
  <si>
    <t>04.08.2023</t>
  </si>
  <si>
    <t>Продлеваем удаленку  еще на 6 месяцев</t>
  </si>
  <si>
    <t>Выводим в офис</t>
  </si>
  <si>
    <t>В какой кабинет сажать</t>
  </si>
  <si>
    <t>Комментарий</t>
  </si>
  <si>
    <t>Продлеваем, т.к. маленький ребенок (до 3 лет) и мало мест в офисе</t>
  </si>
  <si>
    <t>842?</t>
  </si>
  <si>
    <t>Позиция работника
(хочет ли работать в офисе?)</t>
  </si>
  <si>
    <t>Не хочет работать в офисе</t>
  </si>
  <si>
    <t>Постояннная удаленка</t>
  </si>
  <si>
    <t>Не взаимодействует на постоянной основе с коммандой и мало мест в офисе</t>
  </si>
  <si>
    <t>Состояние здоровья и мало мест в офисе</t>
  </si>
  <si>
    <t>Заключено доп. соглашение на удаленный формат работы с 18.01.2022 (не перезаключалось в 2024 г)</t>
  </si>
  <si>
    <t>Заключено доп. соглашение на удаленный формат работы с 21.08.2023 бессрочно</t>
  </si>
  <si>
    <t>Заключено доп. соглашение на удаленный формат работы до 11.12.2024 г.</t>
  </si>
  <si>
    <t>1. Заключено ли доп соглашение на удаленный формат работы с данным работником?
2. Если да и доп соглашение заключено, то заключено ли данное соглашение на бессрочный период или на определенный срок?
3. Если доп соглашение заключено на определенный срок, то на какой именно срок заключено данное доп. соглашение с данным работником?
4. Если доп соглашение заключено на определенный срок, то в чем может быть причина расхождения данных относительно срока удаленной работы данного работника? Согласно нашим данным с данным работником должны были заключить доп соглашение на бессрочный период.</t>
  </si>
  <si>
    <t>1. Заключено ли доп соглашение на удаленный формат работы с данным работником?
2. Если да и доп соглашение заключено, то заключено ли данное соглашение на бессрочный период или на определенный срок?
3. Если доп соглашение заключено на определенный срок, то на какой именно срок заключено данное доп. соглашение с данным работником?
4. Если доп соглашение заключено на бессрочный период или на срок более 6 месяцев, то в чем может быть причина расхождения данных относительно срока удаленной работы данного работника? Согласно нашим данным с данным работником должны были заключить доп соглашение на 6 месяцев.</t>
  </si>
  <si>
    <t>Заключено доп. соглашение на удаленный формат работы с 19.05.2023 бессрочно  (не перезаключалось в 2024 г)</t>
  </si>
  <si>
    <t>1. Заключено ли доп соглашение на удаленный формат работы с данным работником?
2. Если да и доп соглашение заключено, то заключено ли данное соглашение на бессрочный период или на определенный срок?
3. Если доп соглашение заключено на определенный срок, то на какой именно срок заключено данное доп. соглашение с данным работником?</t>
  </si>
  <si>
    <t>Заключено доп. соглашение на удаленный формат работы с 11.06.2024 г. бессрочно</t>
  </si>
  <si>
    <t>Заключено доп. соглашение на удаленный формат работы с 10.01.2024 г. бессрочно</t>
  </si>
  <si>
    <t>1. Заключено ли доп соглашение на удаленный формат работы с данным работником?
2. Если да и доп соглашение заключено, то заключено ли данное соглашение на бессрочный период или на определенный срок?
3. Если доп соглашение заключено на определенный срок, то на какой именно срок заключено данное доп. соглашение с данным работником?
4. Если доп соглашение заключено на бессрочный период или на срок более 6 месяцев, то в чем может быть причина расхождения данных относительно срока удаленной работы данного работника? Согласно нашим данным с данным работником должны были заключить доп соглашение на 6 месяцев.
5. Можно ли вывести данного работника в офис?</t>
  </si>
  <si>
    <t>Заключено доп. соглашение на удаленный формат работы сроком до 24.12.2024</t>
  </si>
  <si>
    <t>1. Заключено ли доп соглашение на удаленный формат работы с данным работником?
2. Если да и доп соглашение заключено, то заключено ли данное соглашение на бессрочный период или на определенный срок?
3. Если доп соглашение заключено на определенный срок, то на какой именно срок заключено данное доп. соглашение с данным работником?
4. Если доп соглашение заключено на бессрочный период, то в чем может быть причина расхождения данных относительно срока удаленной работы данного работника? Согласно нашим данным с данным работником должны были заключить доп соглашение на 6 месяцев.</t>
  </si>
  <si>
    <t>Оформлено доп. соглашение на выход с удаленной работы с 30.06.2024 г.</t>
  </si>
  <si>
    <t>Оформлено доп. соглашение на выход с удаленной работы с 10.06.2024 г.</t>
  </si>
  <si>
    <t>Ответы отдела кадров на поставленные вопросы</t>
  </si>
  <si>
    <t>Вопросы к отделу кадров</t>
  </si>
  <si>
    <t>Оформлено доп. соглашение на выход с удаленной работы с</t>
  </si>
  <si>
    <t>Column1</t>
  </si>
  <si>
    <t>Заключено доп. соглашение на удаленный формат работы с ... (не перезаключалось в 2024 г)</t>
  </si>
  <si>
    <t>Заключено доп. соглашение на удаленный формат работы сроком до …</t>
  </si>
  <si>
    <t>Заключено доп. соглашение на удаленный формат работы с ... бессрочно</t>
  </si>
  <si>
    <t>Заключено доп. соглашение на удаленный формат работы с ... бессрочно (не перезаключалось в 2024 г)</t>
  </si>
  <si>
    <t>Продлеваем удаленку  еще на 3 месяца и выводим в офис</t>
  </si>
  <si>
    <t>Не взаимодействует на постоянной основе с коммандой и мало мест в офисе и может уволиться</t>
  </si>
  <si>
    <t>Тип</t>
  </si>
  <si>
    <t>Продлеваем удаленку  еще на 6 месяцев и выводим в офис</t>
  </si>
  <si>
    <t>7 этаж</t>
  </si>
  <si>
    <t>Да</t>
  </si>
  <si>
    <t>Плаируем вывести в офис</t>
  </si>
  <si>
    <t>Сотрудник, у которых нет мест в офисе</t>
  </si>
  <si>
    <t>Решение о продлении/прекращении удаленки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</si>
</sst>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0"/>
      <name val="Calibri"/>
      <family val="2"/>
      <charset val="204"/>
      <scheme val="minor"/>
    </font>
    <font>
      <b/>
      <sz val="11"/>
      <color theme="1"/>
      <name val="Calibri"/>
      <family val="2"/>
      <charset val="204"/>
      <scheme val="minor"/>
    </font>
    <font>
      <b/>
      <sz val="8"/>
      <color rgb="FF000000"/>
      <name val="Times New Roman"/>
      <family val="1"/>
      <charset val="204"/>
    </font>
    <font>
      <sz val="8"/>
      <color theme="1"/>
      <name val="Times New Roman"/>
      <family val="1"/>
      <charset val="204"/>
    </font>
    <font>
      <sz val="10.5"/>
      <color rgb="FF000000"/>
      <name val="Times New Roman"/>
      <family val="1"/>
      <charset val="204"/>
    </font>
    <font>
      <sz val="10.5"/>
      <color theme="1"/>
      <name val="Times New Roman"/>
      <family val="1"/>
      <charset val="204"/>
    </font>
    <font>
      <sz val="10"/>
      <color rgb="FF000000"/>
      <name val="Times New Roman"/>
      <family val="1"/>
      <charset val="204"/>
    </font>
    <font>
      <sz val="8"/>
      <color rgb="FF000000"/>
      <name val="Times New Roman"/>
      <family val="1"/>
      <charset val="204"/>
    </font>
    <font>
      <b/>
      <sz val="10.5"/>
      <color rgb="FF000000"/>
      <name val="Times New Roman"/>
      <family val="1"/>
      <charset val="204"/>
    </font>
    <font>
      <b/>
      <sz val="10"/>
      <color rgb="FF000000"/>
      <name val="Times New Roman"/>
      <family val="1"/>
      <charset val="204"/>
    </font>
    <font>
      <sz val="10.5"/>
      <color rgb="FFFF0000"/>
      <name val="Times New Roman"/>
      <family val="1"/>
      <charset val="204"/>
    </font>
    <font>
      <sz val="8"/>
      <name val="Calibri"/>
      <family val="2"/>
      <scheme val="minor"/>
    </font>
    <font>
      <b/>
      <sz val="11"/>
      <color rgb="FF000000"/>
      <name val="Calibri"/>
      <family val="2"/>
      <charset val="204"/>
    </font>
    <font>
      <sz val="11"/>
      <color rgb="FF000000"/>
      <name val="Calibri"/>
      <family val="2"/>
      <charset val="204"/>
    </font>
    <font>
      <sz val="11"/>
      <color theme="1"/>
      <name val="Calibri"/>
      <family val="2"/>
    </font>
    <font>
      <sz val="12"/>
      <color theme="1"/>
      <name val="Calibri"/>
      <family val="2"/>
      <scheme val="minor"/>
    </font>
    <font>
      <sz val="11"/>
      <color rgb="FFFF0000"/>
      <name val="Calibri"/>
      <family val="2"/>
    </font>
    <font>
      <strike/>
      <sz val="11"/>
      <color theme="1"/>
      <name val="Calibri"/>
      <family val="2"/>
    </font>
    <font>
      <strike/>
      <sz val="12"/>
      <color theme="1"/>
      <name val="Calibri"/>
      <family val="2"/>
      <scheme val="minor"/>
    </font>
    <font>
      <sz val="12"/>
      <name val="Times New Roman"/>
      <family val="1"/>
      <charset val="204"/>
    </font>
  </fonts>
  <fills count="25">
    <fill>
      <patternFill patternType="none"/>
    </fill>
    <fill>
      <patternFill patternType="gray125"/>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FF"/>
        <bgColor indexed="64"/>
      </patternFill>
    </fill>
    <fill>
      <patternFill patternType="solid">
        <fgColor rgb="FFC5D9F1"/>
        <bgColor indexed="64"/>
      </patternFill>
    </fill>
    <fill>
      <patternFill patternType="solid">
        <fgColor rgb="FFD9D9D9"/>
        <bgColor indexed="64"/>
      </patternFill>
    </fill>
    <fill>
      <patternFill patternType="solid">
        <fgColor rgb="FFD8E4BC"/>
        <bgColor indexed="64"/>
      </patternFill>
    </fill>
    <fill>
      <patternFill patternType="solid">
        <fgColor rgb="FFA6A6A6"/>
        <bgColor indexed="64"/>
      </patternFill>
    </fill>
    <fill>
      <patternFill patternType="solid">
        <fgColor theme="4"/>
        <bgColor theme="4"/>
      </patternFill>
    </fill>
    <fill>
      <patternFill patternType="solid">
        <fgColor rgb="FFFFFF00"/>
        <bgColor indexed="64"/>
      </patternFill>
    </fill>
    <fill>
      <patternFill patternType="solid">
        <fgColor rgb="FFFFC000"/>
        <bgColor theme="4" tint="0.59999389629810485"/>
      </patternFill>
    </fill>
    <fill>
      <patternFill patternType="solid">
        <fgColor rgb="FFFFC000"/>
        <bgColor theme="4" tint="0.79998168889431442"/>
      </patternFill>
    </fill>
    <fill>
      <patternFill patternType="solid">
        <fgColor theme="6" tint="-0.249977111117893"/>
        <bgColor theme="4" tint="0.79998168889431442"/>
      </patternFill>
    </fill>
    <fill>
      <patternFill patternType="solid">
        <fgColor theme="6" tint="-0.249977111117893"/>
        <bgColor theme="4" tint="0.59999389629810485"/>
      </patternFill>
    </fill>
    <fill>
      <patternFill patternType="solid">
        <fgColor theme="6" tint="-0.249977111117893"/>
        <bgColor indexed="64"/>
      </patternFill>
    </fill>
    <fill>
      <patternFill patternType="solid">
        <fgColor theme="5" tint="0.39997558519241921"/>
        <bgColor indexed="64"/>
      </patternFill>
    </fill>
    <fill>
      <patternFill patternType="solid">
        <fgColor theme="5" tint="0.39997558519241921"/>
        <bgColor theme="4" tint="0.59999389629810485"/>
      </patternFill>
    </fill>
    <fill>
      <patternFill patternType="solid">
        <fgColor theme="9" tint="0.79998168889431442"/>
        <bgColor theme="4" tint="0.79998168889431442"/>
      </patternFill>
    </fill>
    <fill>
      <patternFill patternType="solid">
        <fgColor theme="8" tint="0.59999389629810485"/>
        <bgColor indexed="64"/>
      </patternFill>
    </fill>
    <fill>
      <patternFill patternType="solid">
        <fgColor theme="7" tint="0.39997558519241921"/>
        <bgColor theme="4" tint="0.79998168889431442"/>
      </patternFill>
    </fill>
    <fill>
      <patternFill patternType="solid">
        <fgColor theme="6" tint="0.39997558519241921"/>
        <bgColor theme="4" tint="0.79998168889431442"/>
      </patternFill>
    </fill>
    <fill>
      <patternFill patternType="solid">
        <fgColor theme="0"/>
        <bgColor theme="4" tint="0.59999389629810485"/>
      </patternFill>
    </fill>
    <fill>
      <patternFill patternType="solid">
        <fgColor theme="0"/>
        <bgColor theme="4" tint="0.79998168889431442"/>
      </patternFill>
    </fill>
    <fill>
      <patternFill patternType="solid">
        <fgColor theme="6" tint="0.3999755851924192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style="medium">
        <color indexed="64"/>
      </right>
      <top/>
      <bottom/>
      <diagonal/>
    </border>
    <border>
      <left style="medium">
        <color indexed="64"/>
      </left>
      <right/>
      <top style="medium">
        <color indexed="64"/>
      </top>
      <bottom/>
      <diagonal/>
    </border>
    <border>
      <left style="medium">
        <color indexed="64"/>
      </left>
      <right style="medium">
        <color indexed="64"/>
      </right>
      <top/>
      <bottom/>
      <diagonal/>
    </border>
    <border>
      <left style="medium">
        <color indexed="64"/>
      </left>
      <right/>
      <top/>
      <bottom/>
      <diagonal/>
    </border>
  </borders>
  <cellStyleXfs count="2">
    <xf numFmtId="0" fontId="0" fillId="0" borderId="0"/>
    <xf numFmtId="0" fontId="16" fillId="0" borderId="0"/>
  </cellStyleXfs>
  <cellXfs count="146">
    <xf numFmtId="0" fontId="0" fillId="0" borderId="0" xfId="0"/>
    <xf numFmtId="0" fontId="0" fillId="0" borderId="0" xfId="0"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5" fillId="4" borderId="1" xfId="0" applyFont="1" applyFill="1" applyBorder="1" applyAlignment="1">
      <alignment vertical="center" wrapText="1"/>
    </xf>
    <xf numFmtId="0" fontId="7"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3" fillId="6" borderId="1" xfId="0" applyFont="1" applyFill="1" applyBorder="1" applyAlignment="1">
      <alignment vertical="center" wrapText="1"/>
    </xf>
    <xf numFmtId="0" fontId="3" fillId="6" borderId="1" xfId="0" applyFont="1" applyFill="1" applyBorder="1" applyAlignment="1">
      <alignment horizontal="center" vertical="center" wrapText="1"/>
    </xf>
    <xf numFmtId="0" fontId="9" fillId="6" borderId="1" xfId="0" applyFont="1" applyFill="1" applyBorder="1" applyAlignment="1">
      <alignment horizontal="right" vertical="center" wrapText="1"/>
    </xf>
    <xf numFmtId="0" fontId="10" fillId="6" borderId="1" xfId="0" applyFont="1" applyFill="1" applyBorder="1" applyAlignment="1">
      <alignment horizontal="center" vertical="center" wrapText="1"/>
    </xf>
    <xf numFmtId="0" fontId="5" fillId="7" borderId="1" xfId="0" applyFont="1" applyFill="1" applyBorder="1" applyAlignment="1">
      <alignment vertical="center" wrapText="1"/>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xf>
    <xf numFmtId="0" fontId="6" fillId="0" borderId="1" xfId="0" applyFont="1" applyBorder="1" applyAlignment="1">
      <alignment vertical="center" wrapText="1"/>
    </xf>
    <xf numFmtId="0" fontId="8" fillId="4" borderId="1" xfId="0" applyFont="1" applyFill="1" applyBorder="1" applyAlignment="1">
      <alignment vertical="center" wrapText="1"/>
    </xf>
    <xf numFmtId="0" fontId="8" fillId="4" borderId="1" xfId="0" applyFont="1" applyFill="1" applyBorder="1" applyAlignment="1">
      <alignment horizontal="center" vertical="center" wrapText="1"/>
    </xf>
    <xf numFmtId="0" fontId="11" fillId="4" borderId="1" xfId="0" applyFont="1" applyFill="1" applyBorder="1" applyAlignment="1">
      <alignment vertical="center" wrapText="1"/>
    </xf>
    <xf numFmtId="0" fontId="5" fillId="7" borderId="1" xfId="0" applyFont="1" applyFill="1" applyBorder="1" applyAlignment="1">
      <alignment horizontal="center" vertical="center" wrapText="1"/>
    </xf>
    <xf numFmtId="0" fontId="7" fillId="7" borderId="1" xfId="0" applyFont="1" applyFill="1" applyBorder="1" applyAlignment="1">
      <alignment vertical="center" wrapText="1"/>
    </xf>
    <xf numFmtId="0" fontId="11" fillId="7" borderId="1" xfId="0" applyFont="1" applyFill="1" applyBorder="1" applyAlignment="1">
      <alignment vertical="center" wrapText="1"/>
    </xf>
    <xf numFmtId="0" fontId="5" fillId="4" borderId="1" xfId="0" applyFont="1" applyFill="1" applyBorder="1" applyAlignment="1">
      <alignment vertical="center"/>
    </xf>
    <xf numFmtId="0" fontId="7" fillId="5" borderId="1" xfId="0" applyFont="1" applyFill="1" applyBorder="1" applyAlignment="1">
      <alignment horizontal="center" vertical="center"/>
    </xf>
    <xf numFmtId="0" fontId="8" fillId="8" borderId="1" xfId="0" applyFont="1" applyFill="1" applyBorder="1" applyAlignment="1">
      <alignment horizontal="center" vertical="center" wrapText="1"/>
    </xf>
    <xf numFmtId="0" fontId="3" fillId="8" borderId="1" xfId="0" applyFont="1" applyFill="1" applyBorder="1" applyAlignment="1">
      <alignment vertical="center" wrapText="1"/>
    </xf>
    <xf numFmtId="0" fontId="3" fillId="8" borderId="1" xfId="0" applyFont="1" applyFill="1" applyBorder="1" applyAlignment="1">
      <alignment horizontal="center" vertical="center" wrapText="1"/>
    </xf>
    <xf numFmtId="0" fontId="9" fillId="8" borderId="1" xfId="0" applyFont="1" applyFill="1" applyBorder="1" applyAlignment="1">
      <alignment horizontal="right" vertical="center" wrapText="1"/>
    </xf>
    <xf numFmtId="0" fontId="10" fillId="8"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10" fillId="6" borderId="3"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7" fillId="7" borderId="3" xfId="0" applyFont="1" applyFill="1" applyBorder="1" applyAlignment="1">
      <alignment horizontal="center" vertical="center"/>
    </xf>
    <xf numFmtId="0" fontId="5" fillId="7" borderId="3" xfId="0" applyFont="1" applyFill="1" applyBorder="1" applyAlignment="1">
      <alignment horizontal="center" vertical="center" wrapText="1"/>
    </xf>
    <xf numFmtId="0" fontId="7" fillId="5" borderId="3" xfId="0" applyFont="1" applyFill="1" applyBorder="1" applyAlignment="1">
      <alignment horizontal="center" vertical="center"/>
    </xf>
    <xf numFmtId="0" fontId="2" fillId="0" borderId="4" xfId="0" applyFont="1" applyBorder="1"/>
    <xf numFmtId="0" fontId="2" fillId="0" borderId="5" xfId="0" applyFont="1" applyBorder="1"/>
    <xf numFmtId="0" fontId="2" fillId="0" borderId="6" xfId="0" applyFont="1" applyBorder="1"/>
    <xf numFmtId="0" fontId="8" fillId="8" borderId="7" xfId="0" applyFont="1" applyFill="1" applyBorder="1" applyAlignment="1">
      <alignment horizontal="center" vertical="center" wrapText="1"/>
    </xf>
    <xf numFmtId="0" fontId="3" fillId="8" borderId="7" xfId="0" applyFont="1" applyFill="1" applyBorder="1" applyAlignment="1">
      <alignment vertical="center" wrapText="1"/>
    </xf>
    <xf numFmtId="0" fontId="3" fillId="8" borderId="7" xfId="0" applyFont="1" applyFill="1" applyBorder="1" applyAlignment="1">
      <alignment horizontal="center" vertical="center" wrapText="1"/>
    </xf>
    <xf numFmtId="0" fontId="9" fillId="8" borderId="7" xfId="0" applyFont="1" applyFill="1" applyBorder="1" applyAlignment="1">
      <alignment horizontal="right" vertical="center" wrapText="1"/>
    </xf>
    <xf numFmtId="0" fontId="10" fillId="8"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vertical="center" wrapText="1"/>
    </xf>
    <xf numFmtId="0" fontId="6" fillId="2" borderId="1" xfId="0" applyFont="1" applyFill="1" applyBorder="1" applyAlignment="1">
      <alignment vertical="center" wrapText="1"/>
    </xf>
    <xf numFmtId="0" fontId="2" fillId="0" borderId="9" xfId="0" applyFont="1" applyBorder="1" applyAlignment="1">
      <alignment horizontal="center" vertical="center" wrapText="1"/>
    </xf>
    <xf numFmtId="0" fontId="2" fillId="0" borderId="0" xfId="0" applyFont="1" applyAlignment="1">
      <alignment horizontal="center" vertical="center" wrapText="1"/>
    </xf>
    <xf numFmtId="0" fontId="1" fillId="9" borderId="8" xfId="0" applyFont="1" applyFill="1" applyBorder="1" applyAlignment="1">
      <alignment horizontal="center" vertical="center" wrapText="1"/>
    </xf>
    <xf numFmtId="0" fontId="14" fillId="2" borderId="1" xfId="0" applyFont="1" applyFill="1" applyBorder="1" applyAlignment="1">
      <alignment vertical="center"/>
    </xf>
    <xf numFmtId="0" fontId="14" fillId="2" borderId="1" xfId="0" applyFont="1" applyFill="1" applyBorder="1" applyAlignment="1">
      <alignment vertical="center" wrapText="1"/>
    </xf>
    <xf numFmtId="0" fontId="14" fillId="3" borderId="1" xfId="0" applyFont="1" applyFill="1" applyBorder="1" applyAlignment="1">
      <alignment vertical="center"/>
    </xf>
    <xf numFmtId="0" fontId="14" fillId="3" borderId="1" xfId="0" applyFont="1" applyFill="1" applyBorder="1" applyAlignment="1">
      <alignment vertical="center" wrapText="1"/>
    </xf>
    <xf numFmtId="0" fontId="14" fillId="10" borderId="1" xfId="0" applyFont="1" applyFill="1" applyBorder="1" applyAlignment="1">
      <alignment vertical="center"/>
    </xf>
    <xf numFmtId="0" fontId="14" fillId="3" borderId="7" xfId="0" applyFont="1" applyFill="1" applyBorder="1" applyAlignment="1">
      <alignment vertical="center"/>
    </xf>
    <xf numFmtId="0" fontId="13" fillId="9" borderId="11" xfId="0" applyFont="1" applyFill="1" applyBorder="1" applyAlignment="1">
      <alignment horizontal="center" vertical="center" wrapText="1"/>
    </xf>
    <xf numFmtId="0" fontId="14" fillId="3" borderId="5" xfId="0" applyFont="1" applyFill="1" applyBorder="1" applyAlignment="1">
      <alignment vertical="center"/>
    </xf>
    <xf numFmtId="0" fontId="13" fillId="0" borderId="10" xfId="0" applyFont="1" applyBorder="1" applyAlignment="1">
      <alignment horizontal="center" vertical="center" wrapText="1"/>
    </xf>
    <xf numFmtId="0" fontId="13" fillId="0" borderId="0" xfId="0" applyFont="1" applyAlignment="1">
      <alignment horizontal="center" vertical="center" wrapText="1"/>
    </xf>
    <xf numFmtId="0" fontId="13" fillId="9" borderId="12" xfId="0" applyFont="1" applyFill="1" applyBorder="1" applyAlignment="1">
      <alignment horizontal="center" vertical="center" wrapText="1"/>
    </xf>
    <xf numFmtId="0" fontId="0" fillId="0" borderId="0" xfId="0" applyAlignment="1">
      <alignment wrapText="1"/>
    </xf>
    <xf numFmtId="0" fontId="16" fillId="0" borderId="0" xfId="1"/>
    <xf numFmtId="0" fontId="17" fillId="0" borderId="0" xfId="1" applyFont="1" applyAlignment="1">
      <alignment vertical="center"/>
    </xf>
    <xf numFmtId="0" fontId="15" fillId="0" borderId="0" xfId="1" applyFont="1" applyAlignment="1">
      <alignment vertical="center"/>
    </xf>
    <xf numFmtId="0" fontId="14" fillId="11" borderId="1" xfId="0" applyFont="1" applyFill="1" applyBorder="1" applyAlignment="1">
      <alignment vertical="center" wrapText="1"/>
    </xf>
    <xf numFmtId="0" fontId="14" fillId="12" borderId="1" xfId="0" applyFont="1" applyFill="1" applyBorder="1" applyAlignment="1">
      <alignment vertical="center" wrapText="1"/>
    </xf>
    <xf numFmtId="0" fontId="14" fillId="3" borderId="5" xfId="0" applyFont="1" applyFill="1" applyBorder="1" applyAlignment="1">
      <alignment vertical="center" wrapText="1"/>
    </xf>
    <xf numFmtId="0" fontId="14" fillId="2" borderId="1" xfId="0" applyFont="1" applyFill="1" applyBorder="1" applyAlignment="1">
      <alignment horizontal="left" vertical="center"/>
    </xf>
    <xf numFmtId="0" fontId="14" fillId="3" borderId="1" xfId="0" applyFont="1" applyFill="1" applyBorder="1" applyAlignment="1">
      <alignment horizontal="left" vertical="center"/>
    </xf>
    <xf numFmtId="0" fontId="18" fillId="0" borderId="0" xfId="1" applyFont="1" applyAlignment="1">
      <alignment vertical="center"/>
    </xf>
    <xf numFmtId="0" fontId="19" fillId="0" borderId="0" xfId="1" applyFont="1"/>
    <xf numFmtId="0" fontId="16" fillId="0" borderId="1" xfId="1" applyBorder="1" applyAlignment="1">
      <alignment horizontal="left" vertical="center"/>
    </xf>
    <xf numFmtId="0" fontId="16" fillId="0" borderId="1" xfId="1" applyBorder="1"/>
    <xf numFmtId="0" fontId="16" fillId="0" borderId="1" xfId="1" applyBorder="1" applyAlignment="1">
      <alignment horizontal="left" vertical="center" wrapText="1"/>
    </xf>
    <xf numFmtId="0" fontId="14" fillId="3" borderId="1" xfId="0" applyFont="1" applyFill="1" applyBorder="1" applyAlignment="1">
      <alignment horizontal="left" vertical="center" wrapText="1"/>
    </xf>
    <xf numFmtId="0" fontId="16" fillId="0" borderId="1" xfId="1" applyBorder="1" applyAlignment="1">
      <alignment wrapText="1"/>
    </xf>
    <xf numFmtId="0" fontId="14" fillId="2" borderId="1" xfId="0" applyFont="1" applyFill="1" applyBorder="1" applyAlignment="1">
      <alignment horizontal="left" vertical="center" wrapText="1"/>
    </xf>
    <xf numFmtId="14" fontId="13" fillId="9" borderId="11" xfId="0" applyNumberFormat="1" applyFont="1" applyFill="1" applyBorder="1" applyAlignment="1">
      <alignment horizontal="center" vertical="center" wrapText="1"/>
    </xf>
    <xf numFmtId="14" fontId="16" fillId="0" borderId="1" xfId="1" applyNumberFormat="1" applyBorder="1" applyAlignment="1">
      <alignment horizontal="left" vertical="center" wrapText="1"/>
    </xf>
    <xf numFmtId="14" fontId="14" fillId="3" borderId="1" xfId="0" applyNumberFormat="1" applyFont="1" applyFill="1" applyBorder="1" applyAlignment="1">
      <alignment horizontal="left" vertical="center" wrapText="1"/>
    </xf>
    <xf numFmtId="14" fontId="16" fillId="0" borderId="1" xfId="1" applyNumberFormat="1" applyBorder="1" applyAlignment="1">
      <alignment wrapText="1"/>
    </xf>
    <xf numFmtId="14" fontId="14" fillId="2" borderId="1" xfId="0" applyNumberFormat="1" applyFont="1" applyFill="1" applyBorder="1" applyAlignment="1">
      <alignment horizontal="left" vertical="center" wrapText="1"/>
    </xf>
    <xf numFmtId="14" fontId="0" fillId="0" borderId="0" xfId="0" applyNumberFormat="1" applyAlignment="1">
      <alignment wrapText="1"/>
    </xf>
    <xf numFmtId="0" fontId="14" fillId="13" borderId="1" xfId="0" applyFont="1" applyFill="1" applyBorder="1" applyAlignment="1">
      <alignment vertical="center"/>
    </xf>
    <xf numFmtId="0" fontId="14" fillId="14" borderId="1" xfId="0" applyFont="1" applyFill="1" applyBorder="1" applyAlignment="1">
      <alignment vertical="center"/>
    </xf>
    <xf numFmtId="0" fontId="16" fillId="15" borderId="1" xfId="1" applyFill="1" applyBorder="1"/>
    <xf numFmtId="0" fontId="16" fillId="15" borderId="1" xfId="1" applyFill="1" applyBorder="1" applyAlignment="1">
      <alignment wrapText="1"/>
    </xf>
    <xf numFmtId="14" fontId="16" fillId="15" borderId="1" xfId="1" applyNumberFormat="1" applyFill="1" applyBorder="1" applyAlignment="1">
      <alignment wrapText="1"/>
    </xf>
    <xf numFmtId="0" fontId="14" fillId="13" borderId="1" xfId="0" applyFont="1" applyFill="1" applyBorder="1" applyAlignment="1">
      <alignment vertical="center" wrapText="1"/>
    </xf>
    <xf numFmtId="0" fontId="0" fillId="15" borderId="0" xfId="0" applyFill="1"/>
    <xf numFmtId="0" fontId="14" fillId="15" borderId="1" xfId="0" applyFont="1" applyFill="1" applyBorder="1" applyAlignment="1">
      <alignment vertical="center"/>
    </xf>
    <xf numFmtId="0" fontId="14" fillId="14" borderId="1" xfId="0" applyFont="1" applyFill="1" applyBorder="1" applyAlignment="1">
      <alignment vertical="center" wrapText="1"/>
    </xf>
    <xf numFmtId="0" fontId="14" fillId="13" borderId="5" xfId="0" applyFont="1" applyFill="1" applyBorder="1" applyAlignment="1">
      <alignment vertical="center"/>
    </xf>
    <xf numFmtId="0" fontId="0" fillId="0" borderId="0" xfId="0" applyAlignment="1">
      <alignment vertical="center"/>
    </xf>
    <xf numFmtId="0" fontId="0" fillId="0" borderId="0" xfId="0" applyAlignment="1">
      <alignment vertical="center" wrapText="1"/>
    </xf>
    <xf numFmtId="0" fontId="20" fillId="3" borderId="1" xfId="0" applyFont="1" applyFill="1" applyBorder="1" applyAlignment="1">
      <alignment vertical="center" wrapText="1"/>
    </xf>
    <xf numFmtId="0" fontId="20" fillId="2" borderId="1" xfId="0" applyFont="1" applyFill="1" applyBorder="1" applyAlignment="1">
      <alignment vertical="center" wrapText="1"/>
    </xf>
    <xf numFmtId="0" fontId="20" fillId="2" borderId="1" xfId="0" applyFont="1" applyFill="1" applyBorder="1" applyAlignment="1">
      <alignment vertical="center"/>
    </xf>
    <xf numFmtId="0" fontId="0" fillId="15" borderId="0" xfId="0" applyFill="1" applyAlignment="1">
      <alignment vertical="center"/>
    </xf>
    <xf numFmtId="0" fontId="20" fillId="13" borderId="1" xfId="0" applyFont="1" applyFill="1" applyBorder="1" applyAlignment="1">
      <alignment vertical="center" wrapText="1"/>
    </xf>
    <xf numFmtId="0" fontId="20" fillId="13" borderId="1" xfId="0" applyFont="1" applyFill="1" applyBorder="1" applyAlignment="1">
      <alignment vertical="center"/>
    </xf>
    <xf numFmtId="0" fontId="20" fillId="14" borderId="1" xfId="0" applyFont="1" applyFill="1" applyBorder="1" applyAlignment="1">
      <alignment vertical="center"/>
    </xf>
    <xf numFmtId="0" fontId="20" fillId="16" borderId="1" xfId="1" applyFont="1" applyFill="1" applyBorder="1" applyAlignment="1">
      <alignment vertical="center" wrapText="1"/>
    </xf>
    <xf numFmtId="0" fontId="20" fillId="16" borderId="1" xfId="1" applyFont="1" applyFill="1" applyBorder="1" applyAlignment="1">
      <alignment vertical="center"/>
    </xf>
    <xf numFmtId="0" fontId="20" fillId="17" borderId="1" xfId="0" applyFont="1" applyFill="1" applyBorder="1" applyAlignment="1">
      <alignment vertical="center"/>
    </xf>
    <xf numFmtId="0" fontId="20" fillId="0" borderId="1" xfId="1" applyFont="1" applyBorder="1" applyAlignment="1">
      <alignment vertical="center" wrapText="1"/>
    </xf>
    <xf numFmtId="0" fontId="20" fillId="3" borderId="1" xfId="0" applyFont="1" applyFill="1" applyBorder="1" applyAlignment="1">
      <alignment vertical="center"/>
    </xf>
    <xf numFmtId="0" fontId="20" fillId="15" borderId="1" xfId="1" applyFont="1" applyFill="1" applyBorder="1" applyAlignment="1">
      <alignment vertical="center" wrapText="1"/>
    </xf>
    <xf numFmtId="0" fontId="20" fillId="15" borderId="1" xfId="1" applyFont="1" applyFill="1" applyBorder="1" applyAlignment="1">
      <alignment vertical="center"/>
    </xf>
    <xf numFmtId="0" fontId="20" fillId="15" borderId="1" xfId="0" applyFont="1" applyFill="1" applyBorder="1" applyAlignment="1">
      <alignment vertical="center"/>
    </xf>
    <xf numFmtId="0" fontId="20" fillId="11" borderId="1" xfId="0" applyFont="1" applyFill="1" applyBorder="1" applyAlignment="1">
      <alignment vertical="center" wrapText="1"/>
    </xf>
    <xf numFmtId="0" fontId="20" fillId="3" borderId="5" xfId="0" applyFont="1" applyFill="1" applyBorder="1" applyAlignment="1">
      <alignment vertical="center" wrapText="1"/>
    </xf>
    <xf numFmtId="0" fontId="20" fillId="0" borderId="1" xfId="1" applyFont="1" applyBorder="1" applyAlignment="1">
      <alignment vertical="center"/>
    </xf>
    <xf numFmtId="0" fontId="20" fillId="12" borderId="1" xfId="0" applyFont="1" applyFill="1" applyBorder="1" applyAlignment="1">
      <alignment vertical="center" wrapText="1"/>
    </xf>
    <xf numFmtId="0" fontId="20" fillId="18" borderId="1" xfId="0" applyFont="1" applyFill="1" applyBorder="1" applyAlignment="1">
      <alignment vertical="center" wrapText="1"/>
    </xf>
    <xf numFmtId="0" fontId="20" fillId="18" borderId="1" xfId="0" applyFont="1" applyFill="1" applyBorder="1" applyAlignment="1">
      <alignment vertical="center"/>
    </xf>
    <xf numFmtId="0" fontId="20" fillId="19" borderId="1" xfId="0" applyFont="1" applyFill="1" applyBorder="1" applyAlignment="1">
      <alignment vertical="center"/>
    </xf>
    <xf numFmtId="0" fontId="20" fillId="20" borderId="5" xfId="0" applyFont="1" applyFill="1" applyBorder="1" applyAlignment="1">
      <alignment vertical="center"/>
    </xf>
    <xf numFmtId="0" fontId="20" fillId="21" borderId="1" xfId="0" applyFont="1" applyFill="1" applyBorder="1" applyAlignment="1">
      <alignment vertical="center" wrapText="1"/>
    </xf>
    <xf numFmtId="0" fontId="14" fillId="3" borderId="1" xfId="1" applyFont="1" applyFill="1" applyBorder="1" applyAlignment="1">
      <alignment vertical="center"/>
    </xf>
    <xf numFmtId="0" fontId="13" fillId="9" borderId="13" xfId="0" applyFont="1" applyFill="1" applyBorder="1" applyAlignment="1">
      <alignment horizontal="center" vertical="center" wrapText="1"/>
    </xf>
    <xf numFmtId="0" fontId="14" fillId="3" borderId="1" xfId="1" applyFont="1" applyFill="1" applyBorder="1" applyAlignment="1">
      <alignment vertical="center" wrapText="1"/>
    </xf>
    <xf numFmtId="0" fontId="14" fillId="10" borderId="7" xfId="0" applyFont="1" applyFill="1" applyBorder="1" applyAlignment="1">
      <alignment vertical="center"/>
    </xf>
    <xf numFmtId="0" fontId="14" fillId="2" borderId="7" xfId="0" applyFont="1" applyFill="1" applyBorder="1" applyAlignment="1">
      <alignment vertical="center"/>
    </xf>
    <xf numFmtId="0" fontId="14" fillId="11" borderId="7" xfId="0" applyFont="1" applyFill="1" applyBorder="1" applyAlignment="1">
      <alignment vertical="center" wrapText="1"/>
    </xf>
    <xf numFmtId="0" fontId="16" fillId="0" borderId="7" xfId="1" applyBorder="1" applyAlignment="1">
      <alignment horizontal="left" vertical="center" wrapText="1"/>
    </xf>
    <xf numFmtId="14" fontId="16" fillId="0" borderId="7" xfId="1" applyNumberFormat="1" applyBorder="1" applyAlignment="1">
      <alignment horizontal="left" vertical="center" wrapText="1"/>
    </xf>
    <xf numFmtId="0" fontId="14" fillId="2" borderId="7" xfId="0" applyFont="1" applyFill="1" applyBorder="1" applyAlignment="1">
      <alignment vertical="center" wrapText="1"/>
    </xf>
    <xf numFmtId="0" fontId="14" fillId="2" borderId="5" xfId="0" applyFont="1" applyFill="1" applyBorder="1" applyAlignment="1">
      <alignment vertical="center"/>
    </xf>
    <xf numFmtId="0" fontId="20" fillId="15" borderId="0" xfId="1" applyFont="1" applyFill="1" applyAlignment="1">
      <alignment vertical="center" wrapText="1"/>
    </xf>
    <xf numFmtId="0" fontId="20" fillId="3" borderId="0" xfId="0" applyFont="1" applyFill="1" applyAlignment="1">
      <alignment vertical="center" wrapText="1"/>
    </xf>
    <xf numFmtId="0" fontId="20" fillId="3" borderId="0" xfId="0" applyFont="1" applyFill="1" applyAlignment="1">
      <alignment vertical="center"/>
    </xf>
    <xf numFmtId="0" fontId="20" fillId="20" borderId="1" xfId="0" applyFont="1" applyFill="1" applyBorder="1" applyAlignment="1">
      <alignment vertical="center"/>
    </xf>
    <xf numFmtId="0" fontId="20" fillId="18" borderId="5" xfId="0" applyFont="1" applyFill="1" applyBorder="1" applyAlignment="1">
      <alignment vertical="center" wrapText="1"/>
    </xf>
    <xf numFmtId="0" fontId="20" fillId="18" borderId="0" xfId="0" applyFont="1" applyFill="1" applyAlignment="1">
      <alignment vertical="center" wrapText="1"/>
    </xf>
    <xf numFmtId="0" fontId="14" fillId="22" borderId="1" xfId="0" applyFont="1" applyFill="1" applyBorder="1" applyAlignment="1">
      <alignment vertical="center"/>
    </xf>
    <xf numFmtId="0" fontId="14" fillId="23" borderId="1" xfId="0" applyFont="1" applyFill="1" applyBorder="1" applyAlignment="1">
      <alignment vertical="center"/>
    </xf>
    <xf numFmtId="0" fontId="0" fillId="24" borderId="0" xfId="0" applyFill="1"/>
    <xf numFmtId="0" fontId="2" fillId="0" borderId="0" xfId="0" applyFont="1"/>
    <xf numFmtId="0" fontId="2" fillId="0" borderId="0" xfId="0" applyFont="1" applyAlignment="1">
      <alignment horizontal="center" vertical="center"/>
    </xf>
    <xf numFmtId="0" fontId="16" fillId="0" borderId="1" xfId="1" applyBorder="1" applyAlignment="1">
      <alignment horizontal="left" wrapText="1"/>
    </xf>
    <xf numFmtId="14" fontId="16" fillId="15" borderId="1" xfId="1" applyNumberFormat="1" applyFill="1" applyBorder="1" applyAlignment="1">
      <alignment horizontal="left" wrapText="1"/>
    </xf>
  </cellXfs>
  <cellStyles count="2">
    <cellStyle name="Normal" xfId="0" builtinId="0"/>
    <cellStyle name="Normal 2" xfId="1" xr:uid="{62187E86-50D2-4B7C-A6A8-C8A3CF958228}"/>
  </cellStyles>
  <dxfs count="61">
    <dxf>
      <numFmt numFmtId="19" formatCode="m/d/yyyy"/>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charset val="204"/>
        <scheme val="none"/>
      </font>
      <fill>
        <patternFill patternType="solid">
          <fgColor theme="4" tint="0.79998168889431442"/>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Times New Roman"/>
        <family val="1"/>
        <charset val="204"/>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Times New Roman"/>
        <family val="1"/>
        <charset val="204"/>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Times New Roman"/>
        <family val="1"/>
        <charset val="204"/>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Times New Roman"/>
        <family val="1"/>
        <charset val="204"/>
        <scheme val="none"/>
      </font>
      <fill>
        <patternFill patternType="solid">
          <fgColor indexed="64"/>
          <bgColor rgb="FFFFFFFF"/>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family val="2"/>
        <charset val="204"/>
        <scheme val="minor"/>
      </font>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rgb="FF000000"/>
        <name val="Times New Roman"/>
        <family val="1"/>
        <charset val="204"/>
        <scheme val="none"/>
      </font>
      <fill>
        <patternFill patternType="solid">
          <fgColor indexed="64"/>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border>
    </dxf>
    <dxf>
      <font>
        <b/>
        <i val="0"/>
        <strike val="0"/>
        <condense val="0"/>
        <extend val="0"/>
        <outline val="0"/>
        <shadow val="0"/>
        <u val="none"/>
        <vertAlign val="baseline"/>
        <sz val="11"/>
        <color theme="0"/>
        <name val="Calibri"/>
        <family val="2"/>
        <charset val="204"/>
        <scheme val="minor"/>
      </font>
      <fill>
        <patternFill patternType="solid">
          <fgColor theme="4"/>
          <bgColor theme="4"/>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Times New Roman"/>
        <family val="1"/>
        <charset val="204"/>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family val="1"/>
        <charset val="204"/>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vertical="center" textRotation="0" wrapText="1" indent="0" justifyLastLine="0" shrinkToFit="0" readingOrder="0"/>
    </dxf>
    <dxf>
      <font>
        <b val="0"/>
        <i val="0"/>
        <strike val="0"/>
        <condense val="0"/>
        <extend val="0"/>
        <outline val="0"/>
        <shadow val="0"/>
        <u val="none"/>
        <vertAlign val="baseline"/>
        <sz val="12"/>
        <color auto="1"/>
        <name val="Times New Roman"/>
        <family val="1"/>
        <charset val="204"/>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family val="1"/>
        <charset val="204"/>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family val="1"/>
        <charset val="204"/>
        <scheme val="none"/>
      </font>
      <fill>
        <patternFill patternType="solid">
          <fgColor theme="4" tint="0.59999389629810485"/>
          <bgColor theme="4" tint="0.5999938962981048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family val="1"/>
        <charset val="204"/>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family val="1"/>
        <charset val="204"/>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family val="1"/>
        <charset val="204"/>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right style="medium">
          <color indexed="64"/>
        </right>
        <bottom style="medium">
          <color indexed="64"/>
        </bottom>
      </border>
    </dxf>
    <dxf>
      <font>
        <b val="0"/>
        <i val="0"/>
        <strike val="0"/>
        <condense val="0"/>
        <extend val="0"/>
        <outline val="0"/>
        <shadow val="0"/>
        <u val="none"/>
        <vertAlign val="baseline"/>
        <sz val="12"/>
        <color auto="1"/>
        <name val="Times New Roman"/>
        <family val="1"/>
        <charset val="204"/>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rgb="FF000000"/>
        <name val="Calibri"/>
        <family val="2"/>
        <charset val="204"/>
        <scheme val="none"/>
      </font>
      <fill>
        <patternFill patternType="solid">
          <fgColor theme="4"/>
          <bgColor theme="4"/>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rgb="FF000000"/>
        <name val="Calibri"/>
        <family val="2"/>
        <charset val="204"/>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charset val="204"/>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charset val="204"/>
        <scheme val="none"/>
      </font>
      <fill>
        <patternFill patternType="solid">
          <fgColor theme="4" tint="0.79998168889431442"/>
          <bgColor theme="4"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1"/>
        <color rgb="FF000000"/>
        <name val="Calibri"/>
        <family val="2"/>
        <charset val="204"/>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charset val="204"/>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charset val="204"/>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charset val="204"/>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charset val="204"/>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charset val="204"/>
        <scheme val="none"/>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charset val="204"/>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charset val="204"/>
        <scheme val="none"/>
      </font>
      <fill>
        <patternFill patternType="solid">
          <fgColor theme="4" tint="0.59999389629810485"/>
          <bgColor theme="4" tint="0.5999938962981048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charset val="204"/>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charset val="204"/>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charset val="204"/>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charset val="204"/>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charset val="204"/>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charset val="204"/>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charset val="204"/>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right style="medium">
          <color indexed="64"/>
        </right>
        <bottom style="medium">
          <color indexed="64"/>
        </bottom>
      </border>
    </dxf>
    <dxf>
      <font>
        <b val="0"/>
        <i val="0"/>
        <strike val="0"/>
        <condense val="0"/>
        <extend val="0"/>
        <outline val="0"/>
        <shadow val="0"/>
        <u val="none"/>
        <vertAlign val="baseline"/>
        <sz val="11"/>
        <color rgb="FF000000"/>
        <name val="Calibri"/>
        <family val="2"/>
        <charset val="204"/>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rgb="FF000000"/>
        <name val="Calibri"/>
        <family val="2"/>
        <charset val="204"/>
        <scheme val="none"/>
      </font>
      <fill>
        <patternFill patternType="solid">
          <fgColor theme="4"/>
          <bgColor theme="4"/>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1167E20-F63A-4CBF-8F48-7E69D55B04BE}" name="remote_work" displayName="remote_work" ref="A1:X18" totalsRowShown="0" headerRowDxfId="60" dataDxfId="59" tableBorderDxfId="58">
  <autoFilter ref="A1:X18" xr:uid="{B1167E20-F63A-4CBF-8F48-7E69D55B04BE}"/>
  <sortState xmlns:xlrd2="http://schemas.microsoft.com/office/spreadsheetml/2017/richdata2" ref="A2:X18">
    <sortCondition ref="M1:M18"/>
  </sortState>
  <tableColumns count="24">
    <tableColumn id="1" xr3:uid="{DE19E98D-B47F-4442-8279-1755F144D9EC}" name="Фамимлия" dataDxfId="57"/>
    <tableColumn id="2" xr3:uid="{35EB40A8-8764-4739-AFA1-69776960731D}" name="Имя" dataDxfId="56"/>
    <tableColumn id="3" xr3:uid="{7DFCA1F7-DDB6-4B62-B879-D0216E69D69C}" name="Отчество" dataDxfId="55"/>
    <tableColumn id="9" xr3:uid="{C6D79C12-015A-4384-80E9-4C09063082A2}" name="Формат работы" dataDxfId="54"/>
    <tableColumn id="4" xr3:uid="{DEACD523-B304-4E7D-A743-AE88BDD20E21}" name="Сотрудник" dataDxfId="53"/>
    <tableColumn id="5" xr3:uid="{9626DAC0-A67A-4495-8EFA-4F7792573647}" name="Наименование подразделения" dataDxfId="52"/>
    <tableColumn id="6" xr3:uid="{E69B3396-8D78-42CE-8A12-F5FB0A869D59}" name="Информация об удаленном формате работы согласно  информации отдела кадров" dataDxfId="51"/>
    <tableColumn id="11" xr3:uid="{D8F6275A-5C31-4D97-9F4C-3EDDC2A55C7D}" name="Фактический формат работы" dataDxfId="50"/>
    <tableColumn id="7" xr3:uid="{38680410-E85A-4CDA-B687-00193ADF65B5}" name="Информация о сроке работы в удаленном формате согласно информации отдела кадров" dataDxfId="49"/>
    <tableColumn id="15" xr3:uid="{8F56E647-4E6B-4FFD-8713-19D95645D47B}" name="Информация о сроке работы в удаленном формате согласно информации от Тамерлана" dataDxfId="48"/>
    <tableColumn id="16" xr3:uid="{23E434C1-4823-4464-9AD7-BE5BD976DBC7}" name="Причина удаленки" dataDxfId="47" dataCellStyle="Normal 2"/>
    <tableColumn id="17" xr3:uid="{318E38DC-8243-461B-8804-4F5AC80FE39E}" name="Год рождения ребенка" dataDxfId="46" dataCellStyle="Normal 2"/>
    <tableColumn id="18" xr3:uid="{95C80590-939D-447B-9960-D02B15EFC54C}" name="Решение о продлении/прекращении удаленки" dataDxfId="2" dataCellStyle="Normal 2"/>
    <tableColumn id="19" xr3:uid="{DE2C99FC-C2FB-41A5-8E54-179210CC8B50}" name="В какой кабинет сажать" dataDxfId="0" dataCellStyle="Normal 2"/>
    <tableColumn id="20" xr3:uid="{87747EDF-9818-41B8-A83A-494BD9B088DF}" name="Комментарий" dataDxfId="1" dataCellStyle="Normal 2"/>
    <tableColumn id="21" xr3:uid="{47BCD2DE-EE91-4FEE-B45A-15D45918F0FE}" name="Позиция работника_x000a_(хочет ли работать в офисе?)" dataDxfId="45" dataCellStyle="Normal 2"/>
    <tableColumn id="8" xr3:uid="{D5F6CBCC-90D3-49C7-813A-50AFC0CAA499}" name="Комментарий Маши" dataDxfId="44"/>
    <tableColumn id="13" xr3:uid="{CCFCC1E0-E948-4A5A-A933-0EB92BE867C5}" name="Срок временной удаленки" dataDxfId="43"/>
    <tableColumn id="10" xr3:uid="{6C81C67E-5281-43CF-99BF-64D7BA2242C9}" name="Предлагаемое решение" dataDxfId="42"/>
    <tableColumn id="12" xr3:uid="{063EBF02-3D99-42F4-AAEE-4A0D0F8F33CE}" name="Предлагаемый срок временной удаленки" dataDxfId="41"/>
    <tableColumn id="14" xr3:uid="{2E090FFF-B680-44A6-A359-00C0C95F496D}" name="Заключение" dataDxfId="40"/>
    <tableColumn id="22" xr3:uid="{5EDEB8F9-035F-4065-B84E-D56D015849E1}" name="Вопросы к отделу кадров" dataDxfId="39"/>
    <tableColumn id="23" xr3:uid="{DAA52DBF-2255-443C-B6B1-2AE4837AC4EE}" name="Ответы отдела кадров на поставленные вопросы" dataDxfId="38"/>
    <tableColumn id="24" xr3:uid="{CD78818E-6721-46CA-9A24-6C32FDB2CDDD}" name="Тип" dataDxfId="37"/>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3C6B77-9583-4075-A67F-B967C78E386E}" name="Table2" displayName="Table2" ref="A1:B8" totalsRowShown="0">
  <autoFilter ref="A1:B8" xr:uid="{5FB7C935-D43B-4305-A0B7-EC9AB4CD656E}"/>
  <tableColumns count="2">
    <tableColumn id="1" xr3:uid="{5B477BE9-E387-48DE-9224-0B89D3436F16}" name="Сотрудник, у которых нет мест в офисе" dataDxfId="3"/>
    <tableColumn id="2" xr3:uid="{FDB1822C-BB55-4AC9-94CB-D0ABF5BEB5B5}" name="Плаируем вывести в офис"/>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23F2F9-3424-4A3A-AD36-07474B698F72}" name="remote_work2" displayName="remote_work2" ref="A1:I17" totalsRowShown="0" headerRowDxfId="36" dataDxfId="35" tableBorderDxfId="34">
  <autoFilter ref="A1:I17" xr:uid="{B1167E20-F63A-4CBF-8F48-7E69D55B04BE}"/>
  <sortState xmlns:xlrd2="http://schemas.microsoft.com/office/spreadsheetml/2017/richdata2" ref="A2:I17">
    <sortCondition descending="1" ref="I1:I17"/>
  </sortState>
  <tableColumns count="9">
    <tableColumn id="4" xr3:uid="{DEACD523-B304-4E7D-A743-AE88BDD20E21}" name="Сотрудник" dataDxfId="33"/>
    <tableColumn id="5" xr3:uid="{9626DAC0-A67A-4495-8EFA-4F7792573647}" name="Наименование подразделения" dataDxfId="32"/>
    <tableColumn id="6" xr3:uid="{E69B3396-8D78-42CE-8A12-F5FB0A869D59}" name="Информация об удаленном формате работы согласно  информации отдела кадров" dataDxfId="31"/>
    <tableColumn id="11" xr3:uid="{D8F6275A-5C31-4D97-9F4C-3EDDC2A55C7D}" name="Фактический формат работы" dataDxfId="30"/>
    <tableColumn id="7" xr3:uid="{38680410-E85A-4CDA-B687-00193ADF65B5}" name="Информация о сроке работы в удаленном формате согласно информации отдела кадров" dataDxfId="29"/>
    <tableColumn id="15" xr3:uid="{8F56E647-4E6B-4FFD-8713-19D95645D47B}" name="Информация о сроке работы в удаленном формате согласно информации от Тамерлана" dataDxfId="28"/>
    <tableColumn id="26" xr3:uid="{274969A3-3C7A-44E5-A630-7C16EAB1900D}" name="Вопросы к отделу кадров" dataDxfId="27"/>
    <tableColumn id="27" xr3:uid="{65237668-AC59-489A-8B25-BC870C571B05}" name="Ответы отдела кадров на поставленные вопросы" dataDxfId="26"/>
    <tableColumn id="1" xr3:uid="{10FDB021-3FB9-488E-A823-7255FC3A882A}" name="Column1" dataDxfId="25"/>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A9F0C5E-9024-42FE-AADF-9557CE63FF08}" name="staffing_table" displayName="staffing_table" ref="A1:M92" totalsRowShown="0" headerRowDxfId="24" tableBorderDxfId="23">
  <autoFilter ref="A1:M92" xr:uid="{0A9F0C5E-9024-42FE-AADF-9557CE63FF08}"/>
  <tableColumns count="13">
    <tableColumn id="1" xr3:uid="{61A2A1DB-6A27-4AE8-A404-27CFABD40297}" name="ID" dataDxfId="22"/>
    <tableColumn id="11" xr3:uid="{26768361-075A-4ABF-A87C-B16573F3D13E}" name="Подразделение_сокр" dataDxfId="21"/>
    <tableColumn id="2" xr3:uid="{143DD1D3-5E2F-4ECD-B008-2F07819DD331}" name="Подразделение" dataDxfId="20"/>
    <tableColumn id="3" xr3:uid="{096184F8-6F0A-4586-B9FA-6F721EEE1291}" name="Грейд" dataDxfId="19"/>
    <tableColumn id="4" xr3:uid="{6C3D1708-3CA1-4169-9717-7D1E06EF946C}" name="Должность" dataDxfId="18"/>
    <tableColumn id="5" xr3:uid="{6817E7B8-F9D8-4165-B569-49DF61B3A798}" name="Количество" dataDxfId="17"/>
    <tableColumn id="6" xr3:uid="{2EABFEA7-B8DD-40BC-B6C4-2427157508E8}" name="Фамилия" dataDxfId="16"/>
    <tableColumn id="7" xr3:uid="{F665B592-0466-4B1A-B4F5-F0A481396224}" name="Имя" dataDxfId="15"/>
    <tableColumn id="8" xr3:uid="{E78D5BD7-4661-4040-834D-C75BA82A2202}" name="Отчество" dataDxfId="14"/>
    <tableColumn id="9" xr3:uid="{7BAFEFA5-C10A-4E46-99F2-96B65D6060B2}" name="ID2" dataDxfId="13">
      <calculatedColumnFormula>VLOOKUP(G:G,#REF!,2,0)</calculatedColumnFormula>
    </tableColumn>
    <tableColumn id="12" xr3:uid="{4F72D4E9-C244-41B3-9A40-77611DDFAA93}" name="Начальник отдела"/>
    <tableColumn id="13" xr3:uid="{6690153E-3EB7-43A8-B8B1-C68B2E54857E}" name="Курирующий заместитель"/>
    <tableColumn id="10" xr3:uid="{A852398E-9965-4EF4-A8C4-A982E9A60EBC}" name="Дата приема на работу" dataDxfId="12"/>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78929E-7184-4A7D-929D-86DD98579EE2}" name="staffing_table4" displayName="staffing_table4" ref="A1:F91" totalsRowShown="0" headerRowDxfId="11" headerRowBorderDxfId="10" tableBorderDxfId="9" totalsRowBorderDxfId="8">
  <autoFilter ref="A1:F91" xr:uid="{E598E993-242D-4943-BD63-CAB2F1AFFC3B}"/>
  <tableColumns count="6">
    <tableColumn id="1" xr3:uid="{A5D98BC9-CCA2-430F-BF2C-6C6612188FD6}" name="Подразделение" dataDxfId="7"/>
    <tableColumn id="2" xr3:uid="{8E53066B-2718-46AE-85C3-24F1DDC094BF}" name="Грейд" dataDxfId="6"/>
    <tableColumn id="3" xr3:uid="{4DF61C8C-A1D0-4B57-A3A2-2E9652459E18}" name="Должность" dataDxfId="5"/>
    <tableColumn id="4" xr3:uid="{964F3814-FD37-4F31-8D2A-17C516E255DB}" name="Количество" dataDxfId="4"/>
    <tableColumn id="5" xr3:uid="{DDE3CC1E-45B6-4F37-A55D-54C610BA9E37}" name="ФИО работника"/>
    <tableColumn id="6" xr3:uid="{2B91D411-F849-4121-8724-466FC6E6CD0D}" name="Дата приема на работу"/>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9A1A3-CC18-4A4E-B3F2-5317CAA4549D}">
  <dimension ref="A1:X28"/>
  <sheetViews>
    <sheetView tabSelected="1" topLeftCell="E1" workbookViewId="0">
      <pane xSplit="2" topLeftCell="M1" activePane="topRight" state="frozen"/>
      <selection activeCell="E1" sqref="E1"/>
      <selection pane="topRight" activeCell="M1" sqref="M1"/>
    </sheetView>
  </sheetViews>
  <sheetFormatPr defaultRowHeight="15" outlineLevelCol="1" x14ac:dyDescent="0.25"/>
  <cols>
    <col min="1" max="1" width="13.28515625" hidden="1" customWidth="1" outlineLevel="1"/>
    <col min="2" max="2" width="10.42578125" hidden="1" customWidth="1" outlineLevel="1"/>
    <col min="3" max="3" width="16.7109375" hidden="1" customWidth="1" outlineLevel="1"/>
    <col min="4" max="4" width="9.7109375" hidden="1" customWidth="1" outlineLevel="1"/>
    <col min="5" max="5" width="42.140625" customWidth="1" collapsed="1"/>
    <col min="6" max="6" width="35.140625" hidden="1" customWidth="1" outlineLevel="1"/>
    <col min="7" max="7" width="24.28515625" hidden="1" customWidth="1" outlineLevel="1" collapsed="1"/>
    <col min="8" max="8" width="15.5703125" hidden="1" customWidth="1" outlineLevel="1"/>
    <col min="9" max="9" width="32.140625" hidden="1" customWidth="1" outlineLevel="1" collapsed="1"/>
    <col min="10" max="10" width="27.42578125" hidden="1" customWidth="1" outlineLevel="1"/>
    <col min="11" max="11" width="23.7109375" style="64" hidden="1" customWidth="1" outlineLevel="1"/>
    <col min="12" max="12" width="23.42578125" style="86" hidden="1" customWidth="1" outlineLevel="1"/>
    <col min="13" max="13" width="27.42578125" style="86" customWidth="1" collapsed="1"/>
    <col min="14" max="14" width="23.140625" style="64" customWidth="1"/>
    <col min="15" max="16" width="27.42578125" style="64" customWidth="1"/>
    <col min="17" max="18" width="18.7109375" hidden="1" customWidth="1" outlineLevel="1"/>
    <col min="19" max="19" width="14.28515625" hidden="1" customWidth="1" outlineLevel="1"/>
    <col min="20" max="20" width="21.140625" hidden="1" customWidth="1" outlineLevel="1"/>
    <col min="21" max="21" width="46.28515625" style="64" hidden="1" customWidth="1" outlineLevel="1"/>
    <col min="22" max="22" width="127.7109375" style="64" customWidth="1" collapsed="1"/>
    <col min="23" max="23" width="70" bestFit="1" customWidth="1"/>
    <col min="24" max="24" width="61.5703125" bestFit="1" customWidth="1"/>
  </cols>
  <sheetData>
    <row r="1" spans="1:24" s="64" customFormat="1" ht="81.75" customHeight="1" x14ac:dyDescent="0.25">
      <c r="A1" s="1" t="s">
        <v>420</v>
      </c>
      <c r="B1" s="1" t="s">
        <v>0</v>
      </c>
      <c r="C1" s="61" t="s">
        <v>377</v>
      </c>
      <c r="D1" s="62" t="s">
        <v>394</v>
      </c>
      <c r="E1" s="59" t="s">
        <v>395</v>
      </c>
      <c r="F1" s="59" t="s">
        <v>396</v>
      </c>
      <c r="G1" s="59" t="s">
        <v>464</v>
      </c>
      <c r="H1" s="59" t="s">
        <v>461</v>
      </c>
      <c r="I1" s="59" t="s">
        <v>463</v>
      </c>
      <c r="J1" s="59" t="s">
        <v>465</v>
      </c>
      <c r="K1" s="59" t="s">
        <v>466</v>
      </c>
      <c r="L1" s="81" t="s">
        <v>472</v>
      </c>
      <c r="M1" s="81" t="s">
        <v>518</v>
      </c>
      <c r="N1" s="59" t="s">
        <v>479</v>
      </c>
      <c r="O1" s="59" t="s">
        <v>480</v>
      </c>
      <c r="P1" s="59" t="s">
        <v>483</v>
      </c>
      <c r="Q1" s="59" t="s">
        <v>435</v>
      </c>
      <c r="R1" s="63" t="s">
        <v>430</v>
      </c>
      <c r="S1" s="63" t="s">
        <v>434</v>
      </c>
      <c r="T1" s="63" t="s">
        <v>431</v>
      </c>
      <c r="U1" s="63" t="s">
        <v>426</v>
      </c>
      <c r="V1" s="124" t="s">
        <v>503</v>
      </c>
      <c r="W1" s="63" t="s">
        <v>502</v>
      </c>
      <c r="X1" s="63" t="s">
        <v>512</v>
      </c>
    </row>
    <row r="2" spans="1:24" ht="15.75" x14ac:dyDescent="0.25">
      <c r="A2" s="57" t="s">
        <v>103</v>
      </c>
      <c r="B2" s="57" t="s">
        <v>102</v>
      </c>
      <c r="C2" s="57" t="s">
        <v>356</v>
      </c>
      <c r="D2" s="53" t="s">
        <v>423</v>
      </c>
      <c r="E2" s="57" t="s">
        <v>237</v>
      </c>
      <c r="F2" s="54" t="s">
        <v>398</v>
      </c>
      <c r="G2" s="53" t="s">
        <v>423</v>
      </c>
      <c r="H2" s="53" t="s">
        <v>423</v>
      </c>
      <c r="I2" s="53" t="s">
        <v>409</v>
      </c>
      <c r="J2" s="71" t="s">
        <v>428</v>
      </c>
      <c r="K2" s="80" t="s">
        <v>471</v>
      </c>
      <c r="L2" s="85"/>
      <c r="M2" s="82" t="s">
        <v>478</v>
      </c>
      <c r="N2" s="80">
        <v>826</v>
      </c>
      <c r="O2" s="80"/>
      <c r="P2" s="80"/>
      <c r="Q2" s="54"/>
      <c r="R2" s="132" t="s">
        <v>409</v>
      </c>
      <c r="S2" s="60" t="s">
        <v>427</v>
      </c>
      <c r="T2" s="55" t="s">
        <v>433</v>
      </c>
      <c r="U2" s="70"/>
      <c r="V2" s="56"/>
      <c r="W2" s="60"/>
      <c r="X2" s="60"/>
    </row>
    <row r="3" spans="1:24" ht="78.75" x14ac:dyDescent="0.25">
      <c r="A3" s="53" t="s">
        <v>49</v>
      </c>
      <c r="B3" s="53" t="s">
        <v>48</v>
      </c>
      <c r="C3" s="53" t="s">
        <v>370</v>
      </c>
      <c r="D3" s="53" t="s">
        <v>423</v>
      </c>
      <c r="E3" s="53" t="s">
        <v>411</v>
      </c>
      <c r="F3" s="54" t="s">
        <v>398</v>
      </c>
      <c r="G3" s="53" t="s">
        <v>423</v>
      </c>
      <c r="H3" s="53" t="s">
        <v>423</v>
      </c>
      <c r="I3" s="53" t="s">
        <v>403</v>
      </c>
      <c r="J3" s="71" t="s">
        <v>428</v>
      </c>
      <c r="K3" s="79" t="s">
        <v>469</v>
      </c>
      <c r="L3" s="84"/>
      <c r="M3" s="82" t="s">
        <v>478</v>
      </c>
      <c r="N3" s="144" t="s">
        <v>514</v>
      </c>
      <c r="O3" s="79"/>
      <c r="P3" s="79"/>
      <c r="Q3" s="54"/>
      <c r="R3" s="60"/>
      <c r="S3" s="60" t="s">
        <v>429</v>
      </c>
      <c r="T3" s="55"/>
      <c r="U3" s="70" t="s">
        <v>451</v>
      </c>
      <c r="V3" s="100" t="s">
        <v>494</v>
      </c>
      <c r="W3" s="115" t="s">
        <v>488</v>
      </c>
      <c r="X3" s="137" t="s">
        <v>506</v>
      </c>
    </row>
    <row r="4" spans="1:24" ht="78.75" x14ac:dyDescent="0.25">
      <c r="A4" s="55" t="s">
        <v>34</v>
      </c>
      <c r="B4" s="55" t="s">
        <v>33</v>
      </c>
      <c r="C4" s="55" t="s">
        <v>308</v>
      </c>
      <c r="D4" s="53" t="s">
        <v>423</v>
      </c>
      <c r="E4" s="55" t="s">
        <v>414</v>
      </c>
      <c r="F4" s="56" t="s">
        <v>398</v>
      </c>
      <c r="G4" s="53" t="s">
        <v>423</v>
      </c>
      <c r="H4" s="53" t="s">
        <v>423</v>
      </c>
      <c r="I4" s="55" t="s">
        <v>403</v>
      </c>
      <c r="J4" s="72" t="s">
        <v>428</v>
      </c>
      <c r="K4" s="79" t="s">
        <v>469</v>
      </c>
      <c r="L4" s="84"/>
      <c r="M4" s="82" t="s">
        <v>478</v>
      </c>
      <c r="N4" s="144" t="s">
        <v>514</v>
      </c>
      <c r="O4" s="79"/>
      <c r="P4" s="79"/>
      <c r="Q4" s="56"/>
      <c r="R4" s="60"/>
      <c r="S4" s="60" t="s">
        <v>429</v>
      </c>
      <c r="T4" s="55"/>
      <c r="U4" s="70" t="s">
        <v>451</v>
      </c>
      <c r="V4" s="99" t="s">
        <v>494</v>
      </c>
      <c r="W4" s="99" t="s">
        <v>488</v>
      </c>
      <c r="X4" s="118" t="s">
        <v>506</v>
      </c>
    </row>
    <row r="5" spans="1:24" ht="31.5" x14ac:dyDescent="0.25">
      <c r="A5" s="55"/>
      <c r="B5" s="55"/>
      <c r="C5" s="55"/>
      <c r="D5" s="55"/>
      <c r="E5" s="123" t="s">
        <v>242</v>
      </c>
      <c r="F5" s="56"/>
      <c r="G5" s="55" t="s">
        <v>462</v>
      </c>
      <c r="H5" s="53" t="s">
        <v>423</v>
      </c>
      <c r="I5" s="55"/>
      <c r="J5" s="76" t="s">
        <v>442</v>
      </c>
      <c r="K5" s="79" t="s">
        <v>428</v>
      </c>
      <c r="L5" s="84"/>
      <c r="M5" s="82" t="s">
        <v>478</v>
      </c>
      <c r="N5" s="144">
        <v>839</v>
      </c>
      <c r="O5" s="79"/>
      <c r="P5" s="79"/>
      <c r="Q5" s="56"/>
      <c r="R5" s="60"/>
      <c r="S5" s="60"/>
      <c r="T5" s="55"/>
      <c r="U5" s="56" t="s">
        <v>448</v>
      </c>
      <c r="V5" s="100"/>
      <c r="W5" s="99" t="s">
        <v>488</v>
      </c>
      <c r="X5" s="138" t="s">
        <v>506</v>
      </c>
    </row>
    <row r="6" spans="1:24" ht="141.75" x14ac:dyDescent="0.25">
      <c r="A6" s="55" t="s">
        <v>19</v>
      </c>
      <c r="B6" s="55" t="s">
        <v>18</v>
      </c>
      <c r="C6" s="55" t="s">
        <v>302</v>
      </c>
      <c r="D6" s="53" t="s">
        <v>423</v>
      </c>
      <c r="E6" s="55" t="s">
        <v>407</v>
      </c>
      <c r="F6" s="56" t="s">
        <v>398</v>
      </c>
      <c r="G6" s="53" t="s">
        <v>423</v>
      </c>
      <c r="H6" s="53" t="s">
        <v>423</v>
      </c>
      <c r="I6" s="55" t="s">
        <v>408</v>
      </c>
      <c r="J6" s="76" t="s">
        <v>440</v>
      </c>
      <c r="K6" s="79"/>
      <c r="L6" s="84"/>
      <c r="M6" s="82" t="s">
        <v>478</v>
      </c>
      <c r="N6" s="80" t="s">
        <v>482</v>
      </c>
      <c r="O6" s="79"/>
      <c r="P6" s="79"/>
      <c r="Q6" s="56"/>
      <c r="R6" s="55" t="s">
        <v>408</v>
      </c>
      <c r="S6" s="60" t="s">
        <v>427</v>
      </c>
      <c r="T6" s="55" t="s">
        <v>428</v>
      </c>
      <c r="U6" s="56" t="s">
        <v>450</v>
      </c>
      <c r="V6" s="106" t="s">
        <v>497</v>
      </c>
      <c r="W6" s="99" t="s">
        <v>496</v>
      </c>
      <c r="X6" s="110" t="s">
        <v>508</v>
      </c>
    </row>
    <row r="7" spans="1:24" ht="63" x14ac:dyDescent="0.25">
      <c r="A7" s="55" t="s">
        <v>369</v>
      </c>
      <c r="B7" s="55" t="s">
        <v>18</v>
      </c>
      <c r="C7" s="55" t="s">
        <v>342</v>
      </c>
      <c r="D7" s="53" t="s">
        <v>423</v>
      </c>
      <c r="E7" s="87" t="s">
        <v>410</v>
      </c>
      <c r="F7" s="56" t="s">
        <v>398</v>
      </c>
      <c r="G7" s="88" t="s">
        <v>423</v>
      </c>
      <c r="H7" s="88" t="s">
        <v>423</v>
      </c>
      <c r="I7" s="87" t="s">
        <v>403</v>
      </c>
      <c r="J7" s="89" t="s">
        <v>429</v>
      </c>
      <c r="K7" s="90" t="s">
        <v>469</v>
      </c>
      <c r="L7" s="91"/>
      <c r="M7" s="91" t="s">
        <v>485</v>
      </c>
      <c r="N7" s="145"/>
      <c r="O7" s="90" t="s">
        <v>486</v>
      </c>
      <c r="P7" s="91"/>
      <c r="Q7" s="92"/>
      <c r="R7" s="87"/>
      <c r="S7" s="96" t="s">
        <v>429</v>
      </c>
      <c r="T7" s="87"/>
      <c r="U7" s="92"/>
      <c r="V7" s="111"/>
      <c r="W7" s="99" t="s">
        <v>495</v>
      </c>
      <c r="X7" s="99" t="s">
        <v>508</v>
      </c>
    </row>
    <row r="8" spans="1:24" ht="63" x14ac:dyDescent="0.25">
      <c r="A8" s="55" t="s">
        <v>364</v>
      </c>
      <c r="B8" s="55" t="s">
        <v>5</v>
      </c>
      <c r="C8" s="55" t="s">
        <v>365</v>
      </c>
      <c r="D8" s="53" t="s">
        <v>423</v>
      </c>
      <c r="E8" s="87" t="s">
        <v>412</v>
      </c>
      <c r="F8" s="56" t="s">
        <v>398</v>
      </c>
      <c r="G8" s="88" t="s">
        <v>423</v>
      </c>
      <c r="H8" s="88" t="s">
        <v>423</v>
      </c>
      <c r="I8" s="87" t="s">
        <v>403</v>
      </c>
      <c r="J8" s="89" t="s">
        <v>429</v>
      </c>
      <c r="K8" s="90" t="s">
        <v>469</v>
      </c>
      <c r="L8" s="91"/>
      <c r="M8" s="91" t="s">
        <v>485</v>
      </c>
      <c r="N8" s="145"/>
      <c r="O8" s="90" t="s">
        <v>486</v>
      </c>
      <c r="P8" s="91"/>
      <c r="Q8" s="92"/>
      <c r="R8" s="87"/>
      <c r="S8" s="96" t="s">
        <v>429</v>
      </c>
      <c r="T8" s="87"/>
      <c r="U8" s="92"/>
      <c r="V8" s="133"/>
      <c r="W8" s="134" t="s">
        <v>495</v>
      </c>
      <c r="X8" s="135" t="s">
        <v>508</v>
      </c>
    </row>
    <row r="9" spans="1:24" s="93" customFormat="1" ht="31.5" x14ac:dyDescent="0.25">
      <c r="A9" s="57" t="s">
        <v>130</v>
      </c>
      <c r="B9" s="57" t="s">
        <v>129</v>
      </c>
      <c r="C9" s="57" t="s">
        <v>324</v>
      </c>
      <c r="D9" s="53" t="s">
        <v>423</v>
      </c>
      <c r="E9" s="94" t="s">
        <v>413</v>
      </c>
      <c r="F9" s="54" t="s">
        <v>398</v>
      </c>
      <c r="G9" s="88" t="s">
        <v>423</v>
      </c>
      <c r="H9" s="88" t="s">
        <v>423</v>
      </c>
      <c r="I9" s="88" t="s">
        <v>403</v>
      </c>
      <c r="J9" s="89" t="s">
        <v>429</v>
      </c>
      <c r="K9" s="90" t="s">
        <v>470</v>
      </c>
      <c r="L9" s="91"/>
      <c r="M9" s="91" t="s">
        <v>485</v>
      </c>
      <c r="N9" s="145"/>
      <c r="O9" s="90" t="s">
        <v>487</v>
      </c>
      <c r="P9" s="91"/>
      <c r="Q9" s="95"/>
      <c r="R9" s="87"/>
      <c r="S9" s="87" t="s">
        <v>429</v>
      </c>
      <c r="T9" s="87"/>
      <c r="U9" s="92"/>
      <c r="V9" s="111"/>
      <c r="W9" s="99" t="s">
        <v>495</v>
      </c>
      <c r="X9" s="110" t="s">
        <v>508</v>
      </c>
    </row>
    <row r="10" spans="1:24" ht="126" x14ac:dyDescent="0.25">
      <c r="A10" s="53" t="s">
        <v>66</v>
      </c>
      <c r="B10" s="53" t="s">
        <v>65</v>
      </c>
      <c r="C10" s="53" t="s">
        <v>337</v>
      </c>
      <c r="D10" s="53" t="s">
        <v>423</v>
      </c>
      <c r="E10" s="88" t="s">
        <v>417</v>
      </c>
      <c r="F10" s="54" t="s">
        <v>398</v>
      </c>
      <c r="G10" s="88" t="s">
        <v>423</v>
      </c>
      <c r="H10" s="88" t="s">
        <v>423</v>
      </c>
      <c r="I10" s="88" t="s">
        <v>418</v>
      </c>
      <c r="J10" s="89" t="s">
        <v>429</v>
      </c>
      <c r="K10" s="90" t="s">
        <v>469</v>
      </c>
      <c r="L10" s="91"/>
      <c r="M10" s="91" t="s">
        <v>485</v>
      </c>
      <c r="N10" s="145"/>
      <c r="O10" s="90" t="s">
        <v>486</v>
      </c>
      <c r="P10" s="91"/>
      <c r="Q10" s="95"/>
      <c r="R10" s="87" t="s">
        <v>418</v>
      </c>
      <c r="S10" s="87" t="s">
        <v>427</v>
      </c>
      <c r="T10" s="87" t="s">
        <v>432</v>
      </c>
      <c r="U10" s="92"/>
      <c r="V10" s="106" t="s">
        <v>491</v>
      </c>
      <c r="W10" s="99" t="s">
        <v>490</v>
      </c>
      <c r="X10" s="122" t="s">
        <v>507</v>
      </c>
    </row>
    <row r="11" spans="1:24" s="93" customFormat="1" ht="63" x14ac:dyDescent="0.25">
      <c r="A11" s="55" t="s">
        <v>366</v>
      </c>
      <c r="B11" s="55" t="s">
        <v>367</v>
      </c>
      <c r="C11" s="55" t="s">
        <v>368</v>
      </c>
      <c r="D11" s="53" t="s">
        <v>423</v>
      </c>
      <c r="E11" s="87" t="s">
        <v>419</v>
      </c>
      <c r="F11" s="56" t="s">
        <v>398</v>
      </c>
      <c r="G11" s="88" t="s">
        <v>423</v>
      </c>
      <c r="H11" s="88" t="s">
        <v>423</v>
      </c>
      <c r="I11" s="87" t="s">
        <v>403</v>
      </c>
      <c r="J11" s="87" t="s">
        <v>429</v>
      </c>
      <c r="K11" s="90" t="s">
        <v>469</v>
      </c>
      <c r="L11" s="91"/>
      <c r="M11" s="91" t="s">
        <v>485</v>
      </c>
      <c r="N11" s="145"/>
      <c r="O11" s="90" t="s">
        <v>486</v>
      </c>
      <c r="P11" s="91"/>
      <c r="Q11" s="92"/>
      <c r="R11" s="87"/>
      <c r="S11" s="87" t="s">
        <v>429</v>
      </c>
      <c r="T11" s="87"/>
      <c r="U11" s="92"/>
      <c r="V11" s="103"/>
      <c r="W11" s="99" t="s">
        <v>489</v>
      </c>
      <c r="X11" s="110" t="s">
        <v>508</v>
      </c>
    </row>
    <row r="12" spans="1:24" s="93" customFormat="1" ht="47.25" x14ac:dyDescent="0.25">
      <c r="A12" s="57" t="s">
        <v>52</v>
      </c>
      <c r="B12" s="57" t="s">
        <v>51</v>
      </c>
      <c r="C12" s="57" t="s">
        <v>361</v>
      </c>
      <c r="D12" s="53" t="s">
        <v>423</v>
      </c>
      <c r="E12" s="57" t="s">
        <v>256</v>
      </c>
      <c r="F12" s="56" t="s">
        <v>398</v>
      </c>
      <c r="G12" s="53" t="s">
        <v>423</v>
      </c>
      <c r="H12" s="53" t="s">
        <v>423</v>
      </c>
      <c r="I12" s="55" t="s">
        <v>403</v>
      </c>
      <c r="J12" s="72" t="s">
        <v>428</v>
      </c>
      <c r="K12" s="78" t="s">
        <v>468</v>
      </c>
      <c r="L12" s="83"/>
      <c r="M12" s="82" t="s">
        <v>510</v>
      </c>
      <c r="N12" s="78">
        <v>838</v>
      </c>
      <c r="O12" s="78"/>
      <c r="P12" s="78"/>
      <c r="Q12" s="56" t="s">
        <v>404</v>
      </c>
      <c r="R12" s="55" t="s">
        <v>428</v>
      </c>
      <c r="S12" s="55" t="s">
        <v>427</v>
      </c>
      <c r="T12" s="55" t="s">
        <v>432</v>
      </c>
      <c r="U12" s="56" t="s">
        <v>453</v>
      </c>
      <c r="V12" s="99" t="s">
        <v>488</v>
      </c>
      <c r="W12" s="118" t="s">
        <v>506</v>
      </c>
      <c r="X12" s="55"/>
    </row>
    <row r="13" spans="1:24" ht="60" x14ac:dyDescent="0.25">
      <c r="A13" s="53" t="s">
        <v>76</v>
      </c>
      <c r="B13" s="53" t="s">
        <v>75</v>
      </c>
      <c r="C13" s="53" t="s">
        <v>335</v>
      </c>
      <c r="D13" s="53" t="s">
        <v>423</v>
      </c>
      <c r="E13" s="53" t="s">
        <v>397</v>
      </c>
      <c r="F13" s="68" t="s">
        <v>398</v>
      </c>
      <c r="G13" s="53" t="s">
        <v>423</v>
      </c>
      <c r="H13" s="53" t="s">
        <v>423</v>
      </c>
      <c r="I13" s="53" t="s">
        <v>399</v>
      </c>
      <c r="J13" s="75" t="s">
        <v>440</v>
      </c>
      <c r="K13" s="77" t="s">
        <v>467</v>
      </c>
      <c r="L13" s="82" t="s">
        <v>473</v>
      </c>
      <c r="M13" s="82" t="s">
        <v>477</v>
      </c>
      <c r="N13" s="77">
        <v>825</v>
      </c>
      <c r="O13" s="77" t="s">
        <v>481</v>
      </c>
      <c r="P13" s="77"/>
      <c r="Q13" s="54" t="s">
        <v>400</v>
      </c>
      <c r="R13" s="55" t="s">
        <v>428</v>
      </c>
      <c r="S13" s="55" t="s">
        <v>427</v>
      </c>
      <c r="T13" s="55" t="s">
        <v>432</v>
      </c>
      <c r="U13" s="56" t="s">
        <v>449</v>
      </c>
      <c r="V13" s="125" t="s">
        <v>494</v>
      </c>
      <c r="W13" s="55" t="s">
        <v>501</v>
      </c>
      <c r="X13" s="55" t="s">
        <v>504</v>
      </c>
    </row>
    <row r="14" spans="1:24" ht="126" x14ac:dyDescent="0.25">
      <c r="A14" s="53" t="s">
        <v>28</v>
      </c>
      <c r="B14" s="53" t="s">
        <v>27</v>
      </c>
      <c r="C14" s="53" t="s">
        <v>422</v>
      </c>
      <c r="D14" s="53" t="s">
        <v>423</v>
      </c>
      <c r="E14" s="53" t="s">
        <v>405</v>
      </c>
      <c r="F14" s="68" t="s">
        <v>398</v>
      </c>
      <c r="G14" s="53" t="s">
        <v>423</v>
      </c>
      <c r="H14" s="53" t="s">
        <v>423</v>
      </c>
      <c r="I14" s="53" t="s">
        <v>406</v>
      </c>
      <c r="J14" s="75" t="s">
        <v>440</v>
      </c>
      <c r="K14" s="77" t="s">
        <v>467</v>
      </c>
      <c r="L14" s="82" t="s">
        <v>476</v>
      </c>
      <c r="M14" s="82" t="s">
        <v>477</v>
      </c>
      <c r="N14" s="77">
        <v>843</v>
      </c>
      <c r="O14" s="77" t="s">
        <v>481</v>
      </c>
      <c r="P14" s="77"/>
      <c r="Q14" s="54"/>
      <c r="R14" s="53" t="s">
        <v>406</v>
      </c>
      <c r="S14" s="55" t="s">
        <v>427</v>
      </c>
      <c r="T14" s="55" t="s">
        <v>432</v>
      </c>
      <c r="U14" s="56"/>
      <c r="V14" s="106" t="s">
        <v>492</v>
      </c>
      <c r="W14" s="99" t="s">
        <v>498</v>
      </c>
      <c r="X14" s="122" t="s">
        <v>507</v>
      </c>
    </row>
    <row r="15" spans="1:24" ht="126" x14ac:dyDescent="0.25">
      <c r="A15" s="53" t="s">
        <v>55</v>
      </c>
      <c r="B15" s="53" t="s">
        <v>54</v>
      </c>
      <c r="C15" s="53" t="s">
        <v>362</v>
      </c>
      <c r="D15" s="53" t="s">
        <v>423</v>
      </c>
      <c r="E15" s="53" t="s">
        <v>415</v>
      </c>
      <c r="F15" s="54" t="s">
        <v>398</v>
      </c>
      <c r="G15" s="53" t="s">
        <v>423</v>
      </c>
      <c r="H15" s="53" t="s">
        <v>423</v>
      </c>
      <c r="I15" s="53" t="s">
        <v>403</v>
      </c>
      <c r="J15" s="76" t="s">
        <v>440</v>
      </c>
      <c r="K15" s="79" t="s">
        <v>469</v>
      </c>
      <c r="L15" s="84"/>
      <c r="M15" s="82" t="s">
        <v>477</v>
      </c>
      <c r="N15" s="144"/>
      <c r="O15" s="79" t="s">
        <v>511</v>
      </c>
      <c r="P15" s="79"/>
      <c r="Q15" s="54"/>
      <c r="R15" s="55" t="s">
        <v>428</v>
      </c>
      <c r="S15" s="55" t="s">
        <v>429</v>
      </c>
      <c r="T15" s="55"/>
      <c r="U15" s="56" t="s">
        <v>452</v>
      </c>
      <c r="V15" s="106" t="s">
        <v>492</v>
      </c>
      <c r="W15" s="99" t="s">
        <v>493</v>
      </c>
      <c r="X15" s="120" t="s">
        <v>509</v>
      </c>
    </row>
    <row r="16" spans="1:24" s="93" customFormat="1" ht="126" x14ac:dyDescent="0.25">
      <c r="A16" s="55" t="s">
        <v>94</v>
      </c>
      <c r="B16" s="55" t="s">
        <v>42</v>
      </c>
      <c r="C16" s="55" t="s">
        <v>324</v>
      </c>
      <c r="D16" s="53" t="s">
        <v>423</v>
      </c>
      <c r="E16" s="55" t="s">
        <v>416</v>
      </c>
      <c r="F16" s="56" t="s">
        <v>398</v>
      </c>
      <c r="G16" s="53" t="s">
        <v>423</v>
      </c>
      <c r="H16" s="53" t="s">
        <v>423</v>
      </c>
      <c r="I16" s="55" t="s">
        <v>403</v>
      </c>
      <c r="J16" s="75" t="s">
        <v>440</v>
      </c>
      <c r="K16" s="79" t="s">
        <v>470</v>
      </c>
      <c r="L16" s="84"/>
      <c r="M16" s="82" t="s">
        <v>477</v>
      </c>
      <c r="N16" s="144">
        <v>825</v>
      </c>
      <c r="O16" s="79"/>
      <c r="P16" s="79"/>
      <c r="Q16" s="56"/>
      <c r="R16" s="55" t="s">
        <v>428</v>
      </c>
      <c r="S16" s="60" t="s">
        <v>429</v>
      </c>
      <c r="T16" s="55"/>
      <c r="U16" s="56" t="s">
        <v>453</v>
      </c>
      <c r="V16" s="106" t="s">
        <v>492</v>
      </c>
      <c r="W16" s="99" t="s">
        <v>488</v>
      </c>
      <c r="X16" s="119" t="s">
        <v>506</v>
      </c>
    </row>
    <row r="17" spans="1:24" s="93" customFormat="1" ht="78.75" x14ac:dyDescent="0.25">
      <c r="A17" s="55" t="s">
        <v>89</v>
      </c>
      <c r="B17" s="55" t="s">
        <v>88</v>
      </c>
      <c r="C17" s="55" t="s">
        <v>421</v>
      </c>
      <c r="D17" s="53" t="s">
        <v>423</v>
      </c>
      <c r="E17" s="55" t="s">
        <v>401</v>
      </c>
      <c r="F17" s="69" t="s">
        <v>398</v>
      </c>
      <c r="G17" s="53" t="s">
        <v>423</v>
      </c>
      <c r="H17" s="53" t="s">
        <v>423</v>
      </c>
      <c r="I17" s="55" t="s">
        <v>399</v>
      </c>
      <c r="J17" s="75" t="s">
        <v>440</v>
      </c>
      <c r="K17" s="77" t="s">
        <v>467</v>
      </c>
      <c r="L17" s="82" t="s">
        <v>475</v>
      </c>
      <c r="M17" s="82" t="s">
        <v>513</v>
      </c>
      <c r="N17" s="77">
        <v>844</v>
      </c>
      <c r="O17" s="77"/>
      <c r="P17" s="77"/>
      <c r="Q17" s="56" t="s">
        <v>400</v>
      </c>
      <c r="R17" s="55" t="s">
        <v>428</v>
      </c>
      <c r="S17" s="55" t="s">
        <v>427</v>
      </c>
      <c r="T17" s="58" t="s">
        <v>432</v>
      </c>
      <c r="U17" s="56" t="s">
        <v>448</v>
      </c>
      <c r="V17" s="109" t="s">
        <v>494</v>
      </c>
      <c r="W17" s="99" t="s">
        <v>500</v>
      </c>
      <c r="X17" s="136" t="s">
        <v>504</v>
      </c>
    </row>
    <row r="18" spans="1:24" ht="126" x14ac:dyDescent="0.25">
      <c r="A18" s="126" t="s">
        <v>71</v>
      </c>
      <c r="B18" s="126" t="s">
        <v>70</v>
      </c>
      <c r="C18" s="126" t="s">
        <v>335</v>
      </c>
      <c r="D18" s="127" t="s">
        <v>423</v>
      </c>
      <c r="E18" s="126" t="s">
        <v>402</v>
      </c>
      <c r="F18" s="128" t="s">
        <v>398</v>
      </c>
      <c r="G18" s="127" t="s">
        <v>423</v>
      </c>
      <c r="H18" s="53" t="s">
        <v>423</v>
      </c>
      <c r="I18" s="127" t="s">
        <v>403</v>
      </c>
      <c r="J18" s="75" t="s">
        <v>440</v>
      </c>
      <c r="K18" s="129" t="s">
        <v>467</v>
      </c>
      <c r="L18" s="130" t="s">
        <v>474</v>
      </c>
      <c r="M18" s="82" t="s">
        <v>513</v>
      </c>
      <c r="N18" s="129">
        <v>825</v>
      </c>
      <c r="O18" s="129"/>
      <c r="P18" s="129" t="s">
        <v>484</v>
      </c>
      <c r="Q18" s="131" t="s">
        <v>404</v>
      </c>
      <c r="R18" s="58" t="s">
        <v>428</v>
      </c>
      <c r="S18" s="58" t="s">
        <v>427</v>
      </c>
      <c r="T18" s="58" t="s">
        <v>432</v>
      </c>
      <c r="U18" s="70" t="s">
        <v>448</v>
      </c>
      <c r="V18" s="109" t="s">
        <v>499</v>
      </c>
      <c r="W18" s="99" t="s">
        <v>488</v>
      </c>
      <c r="X18" s="118" t="s">
        <v>506</v>
      </c>
    </row>
    <row r="21" spans="1:24" x14ac:dyDescent="0.25">
      <c r="E21" s="67" t="s">
        <v>443</v>
      </c>
      <c r="U21" s="64" t="s">
        <v>454</v>
      </c>
      <c r="V21" s="64" t="s">
        <v>455</v>
      </c>
    </row>
    <row r="22" spans="1:24" x14ac:dyDescent="0.25">
      <c r="E22" s="67" t="s">
        <v>280</v>
      </c>
      <c r="V22" s="64" t="s">
        <v>456</v>
      </c>
    </row>
    <row r="23" spans="1:24" x14ac:dyDescent="0.25">
      <c r="E23" s="67" t="s">
        <v>282</v>
      </c>
      <c r="V23" s="64" t="s">
        <v>457</v>
      </c>
    </row>
    <row r="24" spans="1:24" x14ac:dyDescent="0.25">
      <c r="E24" s="67" t="s">
        <v>284</v>
      </c>
      <c r="V24" s="64" t="s">
        <v>458</v>
      </c>
    </row>
    <row r="25" spans="1:24" x14ac:dyDescent="0.25">
      <c r="E25" s="67" t="s">
        <v>288</v>
      </c>
    </row>
    <row r="26" spans="1:24" x14ac:dyDescent="0.25">
      <c r="E26" s="67" t="s">
        <v>290</v>
      </c>
    </row>
    <row r="27" spans="1:24" ht="45" x14ac:dyDescent="0.25">
      <c r="U27" s="64" t="s">
        <v>460</v>
      </c>
    </row>
    <row r="28" spans="1:24" ht="30" x14ac:dyDescent="0.25">
      <c r="U28" s="64" t="s">
        <v>459</v>
      </c>
    </row>
  </sheetData>
  <phoneticPr fontId="12"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7D7A0-745F-4398-8C0C-ACA50D40D97D}">
  <dimension ref="A1:B8"/>
  <sheetViews>
    <sheetView zoomScale="145" zoomScaleNormal="145" workbookViewId="0">
      <selection activeCell="A17" sqref="A17"/>
    </sheetView>
  </sheetViews>
  <sheetFormatPr defaultRowHeight="15" x14ac:dyDescent="0.25"/>
  <cols>
    <col min="1" max="1" width="44.28515625" bestFit="1" customWidth="1"/>
    <col min="2" max="2" width="27" customWidth="1"/>
  </cols>
  <sheetData>
    <row r="1" spans="1:2" x14ac:dyDescent="0.25">
      <c r="A1" s="143" t="s">
        <v>517</v>
      </c>
      <c r="B1" s="142" t="s">
        <v>516</v>
      </c>
    </row>
    <row r="2" spans="1:2" x14ac:dyDescent="0.25">
      <c r="A2" s="139" t="s">
        <v>411</v>
      </c>
      <c r="B2" s="141" t="s">
        <v>515</v>
      </c>
    </row>
    <row r="3" spans="1:2" x14ac:dyDescent="0.25">
      <c r="A3" s="140" t="s">
        <v>414</v>
      </c>
      <c r="B3" s="141" t="s">
        <v>515</v>
      </c>
    </row>
    <row r="4" spans="1:2" x14ac:dyDescent="0.25">
      <c r="A4" s="140" t="s">
        <v>407</v>
      </c>
      <c r="B4" s="141" t="s">
        <v>515</v>
      </c>
    </row>
    <row r="5" spans="1:2" x14ac:dyDescent="0.25">
      <c r="A5" s="140" t="s">
        <v>410</v>
      </c>
    </row>
    <row r="6" spans="1:2" x14ac:dyDescent="0.25">
      <c r="A6" s="140" t="s">
        <v>412</v>
      </c>
    </row>
    <row r="7" spans="1:2" x14ac:dyDescent="0.25">
      <c r="A7" s="140" t="s">
        <v>419</v>
      </c>
    </row>
    <row r="8" spans="1:2" x14ac:dyDescent="0.25">
      <c r="A8" s="139" t="s">
        <v>415</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42D87-13D3-49F7-AE49-ADE81D5A317F}">
  <dimension ref="A1:I17"/>
  <sheetViews>
    <sheetView zoomScale="60" zoomScaleNormal="60" workbookViewId="0">
      <pane ySplit="1" topLeftCell="A13" activePane="bottomLeft" state="frozen"/>
      <selection pane="bottomLeft" activeCell="G17" sqref="G17:I17"/>
    </sheetView>
  </sheetViews>
  <sheetFormatPr defaultRowHeight="15" outlineLevelCol="1" x14ac:dyDescent="0.25"/>
  <cols>
    <col min="1" max="1" width="42.140625" style="97" customWidth="1"/>
    <col min="2" max="2" width="35.140625" style="97" customWidth="1" outlineLevel="1"/>
    <col min="3" max="3" width="24.28515625" style="97" customWidth="1"/>
    <col min="4" max="4" width="15.5703125" style="97" customWidth="1"/>
    <col min="5" max="5" width="32.140625" style="97" bestFit="1" customWidth="1"/>
    <col min="6" max="6" width="36.140625" style="97" customWidth="1"/>
    <col min="7" max="7" width="50.28515625" style="98" customWidth="1"/>
    <col min="8" max="8" width="38" style="97" customWidth="1"/>
    <col min="9" max="9" width="111.140625" style="97" bestFit="1" customWidth="1"/>
    <col min="10" max="16384" width="9.140625" style="97"/>
  </cols>
  <sheetData>
    <row r="1" spans="1:9" s="1" customFormat="1" ht="81.75" customHeight="1" x14ac:dyDescent="0.25">
      <c r="A1" s="59" t="s">
        <v>395</v>
      </c>
      <c r="B1" s="59" t="s">
        <v>396</v>
      </c>
      <c r="C1" s="59" t="s">
        <v>464</v>
      </c>
      <c r="D1" s="59" t="s">
        <v>461</v>
      </c>
      <c r="E1" s="59" t="s">
        <v>463</v>
      </c>
      <c r="F1" s="59" t="s">
        <v>465</v>
      </c>
      <c r="G1" s="59" t="s">
        <v>503</v>
      </c>
      <c r="H1" s="63" t="s">
        <v>502</v>
      </c>
      <c r="I1" s="63" t="s">
        <v>505</v>
      </c>
    </row>
    <row r="2" spans="1:9" ht="141.75" x14ac:dyDescent="0.25">
      <c r="A2" s="101" t="s">
        <v>397</v>
      </c>
      <c r="B2" s="114" t="s">
        <v>398</v>
      </c>
      <c r="C2" s="101" t="s">
        <v>423</v>
      </c>
      <c r="D2" s="101" t="s">
        <v>423</v>
      </c>
      <c r="E2" s="101" t="s">
        <v>399</v>
      </c>
      <c r="F2" s="116" t="s">
        <v>440</v>
      </c>
      <c r="G2" s="109" t="s">
        <v>494</v>
      </c>
      <c r="H2" s="115" t="s">
        <v>501</v>
      </c>
      <c r="I2" s="121" t="s">
        <v>504</v>
      </c>
    </row>
    <row r="3" spans="1:9" ht="141.75" x14ac:dyDescent="0.25">
      <c r="A3" s="110" t="s">
        <v>401</v>
      </c>
      <c r="B3" s="117" t="s">
        <v>398</v>
      </c>
      <c r="C3" s="101" t="s">
        <v>423</v>
      </c>
      <c r="D3" s="101" t="s">
        <v>423</v>
      </c>
      <c r="E3" s="110" t="s">
        <v>399</v>
      </c>
      <c r="F3" s="116" t="s">
        <v>440</v>
      </c>
      <c r="G3" s="109" t="s">
        <v>494</v>
      </c>
      <c r="H3" s="115" t="s">
        <v>500</v>
      </c>
      <c r="I3" s="121" t="s">
        <v>504</v>
      </c>
    </row>
    <row r="4" spans="1:9" ht="267.75" x14ac:dyDescent="0.25">
      <c r="A4" s="101" t="s">
        <v>405</v>
      </c>
      <c r="B4" s="114" t="s">
        <v>398</v>
      </c>
      <c r="C4" s="101" t="s">
        <v>423</v>
      </c>
      <c r="D4" s="101" t="s">
        <v>423</v>
      </c>
      <c r="E4" s="108" t="s">
        <v>406</v>
      </c>
      <c r="F4" s="107" t="s">
        <v>440</v>
      </c>
      <c r="G4" s="106" t="s">
        <v>492</v>
      </c>
      <c r="H4" s="99" t="s">
        <v>498</v>
      </c>
      <c r="I4" s="122" t="s">
        <v>507</v>
      </c>
    </row>
    <row r="5" spans="1:9" ht="252" x14ac:dyDescent="0.25">
      <c r="A5" s="105" t="s">
        <v>417</v>
      </c>
      <c r="B5" s="100" t="s">
        <v>398</v>
      </c>
      <c r="C5" s="105" t="s">
        <v>423</v>
      </c>
      <c r="D5" s="105" t="s">
        <v>423</v>
      </c>
      <c r="E5" s="108" t="s">
        <v>418</v>
      </c>
      <c r="F5" s="107" t="s">
        <v>429</v>
      </c>
      <c r="G5" s="106" t="s">
        <v>491</v>
      </c>
      <c r="H5" s="99" t="s">
        <v>490</v>
      </c>
      <c r="I5" s="122" t="s">
        <v>507</v>
      </c>
    </row>
    <row r="6" spans="1:9" ht="267.75" x14ac:dyDescent="0.25">
      <c r="A6" s="101" t="s">
        <v>415</v>
      </c>
      <c r="B6" s="100" t="s">
        <v>398</v>
      </c>
      <c r="C6" s="101" t="s">
        <v>423</v>
      </c>
      <c r="D6" s="101" t="s">
        <v>423</v>
      </c>
      <c r="E6" s="108" t="s">
        <v>403</v>
      </c>
      <c r="F6" s="107" t="s">
        <v>440</v>
      </c>
      <c r="G6" s="106" t="s">
        <v>492</v>
      </c>
      <c r="H6" s="99" t="s">
        <v>493</v>
      </c>
      <c r="I6" s="120" t="s">
        <v>509</v>
      </c>
    </row>
    <row r="7" spans="1:9" ht="47.25" x14ac:dyDescent="0.25">
      <c r="A7" s="104" t="s">
        <v>412</v>
      </c>
      <c r="B7" s="99" t="s">
        <v>398</v>
      </c>
      <c r="C7" s="105" t="s">
        <v>423</v>
      </c>
      <c r="D7" s="105" t="s">
        <v>423</v>
      </c>
      <c r="E7" s="104" t="s">
        <v>403</v>
      </c>
      <c r="F7" s="112" t="s">
        <v>429</v>
      </c>
      <c r="G7" s="111"/>
      <c r="H7" s="99" t="s">
        <v>495</v>
      </c>
      <c r="I7" s="110" t="s">
        <v>508</v>
      </c>
    </row>
    <row r="8" spans="1:9" s="102" customFormat="1" ht="299.25" x14ac:dyDescent="0.25">
      <c r="A8" s="109" t="s">
        <v>407</v>
      </c>
      <c r="B8" s="109" t="s">
        <v>398</v>
      </c>
      <c r="C8" s="109" t="s">
        <v>423</v>
      </c>
      <c r="D8" s="109" t="s">
        <v>423</v>
      </c>
      <c r="E8" s="106" t="s">
        <v>408</v>
      </c>
      <c r="F8" s="106" t="s">
        <v>440</v>
      </c>
      <c r="G8" s="106" t="s">
        <v>497</v>
      </c>
      <c r="H8" s="99" t="s">
        <v>496</v>
      </c>
      <c r="I8" s="110" t="s">
        <v>508</v>
      </c>
    </row>
    <row r="9" spans="1:9" ht="47.25" x14ac:dyDescent="0.25">
      <c r="A9" s="104" t="s">
        <v>410</v>
      </c>
      <c r="B9" s="99" t="s">
        <v>398</v>
      </c>
      <c r="C9" s="105" t="s">
        <v>423</v>
      </c>
      <c r="D9" s="105" t="s">
        <v>423</v>
      </c>
      <c r="E9" s="104" t="s">
        <v>403</v>
      </c>
      <c r="F9" s="112" t="s">
        <v>429</v>
      </c>
      <c r="G9" s="111"/>
      <c r="H9" s="99" t="s">
        <v>495</v>
      </c>
      <c r="I9" s="99" t="s">
        <v>508</v>
      </c>
    </row>
    <row r="10" spans="1:9" s="102" customFormat="1" ht="47.25" x14ac:dyDescent="0.25">
      <c r="A10" s="113" t="s">
        <v>413</v>
      </c>
      <c r="B10" s="100" t="s">
        <v>398</v>
      </c>
      <c r="C10" s="105" t="s">
        <v>423</v>
      </c>
      <c r="D10" s="105" t="s">
        <v>423</v>
      </c>
      <c r="E10" s="105" t="s">
        <v>403</v>
      </c>
      <c r="F10" s="112" t="s">
        <v>429</v>
      </c>
      <c r="G10" s="111"/>
      <c r="H10" s="99" t="s">
        <v>495</v>
      </c>
      <c r="I10" s="110" t="s">
        <v>508</v>
      </c>
    </row>
    <row r="11" spans="1:9" s="102" customFormat="1" ht="47.25" x14ac:dyDescent="0.25">
      <c r="A11" s="104" t="s">
        <v>419</v>
      </c>
      <c r="B11" s="99" t="s">
        <v>398</v>
      </c>
      <c r="C11" s="105" t="s">
        <v>423</v>
      </c>
      <c r="D11" s="105" t="s">
        <v>423</v>
      </c>
      <c r="E11" s="104" t="s">
        <v>403</v>
      </c>
      <c r="F11" s="104" t="s">
        <v>429</v>
      </c>
      <c r="G11" s="103"/>
      <c r="H11" s="99" t="s">
        <v>489</v>
      </c>
      <c r="I11" s="110" t="s">
        <v>508</v>
      </c>
    </row>
    <row r="12" spans="1:9" ht="63" x14ac:dyDescent="0.25">
      <c r="A12" s="101" t="s">
        <v>242</v>
      </c>
      <c r="B12" s="101"/>
      <c r="C12" s="101" t="s">
        <v>462</v>
      </c>
      <c r="D12" s="101" t="s">
        <v>423</v>
      </c>
      <c r="E12" s="101"/>
      <c r="F12" s="101" t="s">
        <v>442</v>
      </c>
      <c r="G12" s="100"/>
      <c r="H12" s="99" t="s">
        <v>488</v>
      </c>
      <c r="I12" s="118" t="s">
        <v>506</v>
      </c>
    </row>
    <row r="13" spans="1:9" ht="252" x14ac:dyDescent="0.25">
      <c r="A13" s="109" t="s">
        <v>402</v>
      </c>
      <c r="B13" s="109" t="s">
        <v>398</v>
      </c>
      <c r="C13" s="109" t="s">
        <v>423</v>
      </c>
      <c r="D13" s="109" t="s">
        <v>423</v>
      </c>
      <c r="E13" s="106" t="s">
        <v>403</v>
      </c>
      <c r="F13" s="106" t="s">
        <v>440</v>
      </c>
      <c r="G13" s="109" t="s">
        <v>499</v>
      </c>
      <c r="H13" s="99" t="s">
        <v>488</v>
      </c>
      <c r="I13" s="118" t="s">
        <v>506</v>
      </c>
    </row>
    <row r="14" spans="1:9" ht="141.75" x14ac:dyDescent="0.25">
      <c r="A14" s="99" t="s">
        <v>256</v>
      </c>
      <c r="B14" s="99" t="s">
        <v>398</v>
      </c>
      <c r="C14" s="99" t="s">
        <v>423</v>
      </c>
      <c r="D14" s="99" t="s">
        <v>423</v>
      </c>
      <c r="E14" s="99" t="s">
        <v>403</v>
      </c>
      <c r="F14" s="99" t="s">
        <v>428</v>
      </c>
      <c r="G14" s="99" t="s">
        <v>494</v>
      </c>
      <c r="H14" s="99" t="s">
        <v>488</v>
      </c>
      <c r="I14" s="118" t="s">
        <v>506</v>
      </c>
    </row>
    <row r="15" spans="1:9" s="102" customFormat="1" ht="141.75" x14ac:dyDescent="0.25">
      <c r="A15" s="101" t="s">
        <v>411</v>
      </c>
      <c r="B15" s="100" t="s">
        <v>398</v>
      </c>
      <c r="C15" s="101" t="s">
        <v>423</v>
      </c>
      <c r="D15" s="101" t="s">
        <v>423</v>
      </c>
      <c r="E15" s="101" t="s">
        <v>403</v>
      </c>
      <c r="F15" s="101" t="s">
        <v>428</v>
      </c>
      <c r="G15" s="100" t="s">
        <v>494</v>
      </c>
      <c r="H15" s="99" t="s">
        <v>488</v>
      </c>
      <c r="I15" s="118" t="s">
        <v>506</v>
      </c>
    </row>
    <row r="16" spans="1:9" s="102" customFormat="1" ht="141.75" x14ac:dyDescent="0.25">
      <c r="A16" s="110" t="s">
        <v>414</v>
      </c>
      <c r="B16" s="110" t="s">
        <v>398</v>
      </c>
      <c r="C16" s="110" t="s">
        <v>423</v>
      </c>
      <c r="D16" s="110" t="s">
        <v>423</v>
      </c>
      <c r="E16" s="110" t="s">
        <v>403</v>
      </c>
      <c r="F16" s="110" t="s">
        <v>428</v>
      </c>
      <c r="G16" s="99" t="s">
        <v>494</v>
      </c>
      <c r="H16" s="99" t="s">
        <v>488</v>
      </c>
      <c r="I16" s="118" t="s">
        <v>506</v>
      </c>
    </row>
    <row r="17" spans="1:9" ht="267.75" x14ac:dyDescent="0.25">
      <c r="A17" s="109" t="s">
        <v>416</v>
      </c>
      <c r="B17" s="109" t="s">
        <v>398</v>
      </c>
      <c r="C17" s="109" t="s">
        <v>423</v>
      </c>
      <c r="D17" s="109" t="s">
        <v>423</v>
      </c>
      <c r="E17" s="106" t="s">
        <v>403</v>
      </c>
      <c r="F17" s="106" t="s">
        <v>440</v>
      </c>
      <c r="G17" s="106" t="s">
        <v>492</v>
      </c>
      <c r="H17" s="99" t="s">
        <v>488</v>
      </c>
      <c r="I17" s="119" t="s">
        <v>506</v>
      </c>
    </row>
  </sheetData>
  <pageMargins left="0.7" right="0.7" top="0.75" bottom="0.75" header="0.3" footer="0.3"/>
  <pageSetup paperSize="9" scale="32"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31713-8032-43CB-95D1-8651DC8016DC}">
  <dimension ref="A1:B22"/>
  <sheetViews>
    <sheetView workbookViewId="0">
      <selection activeCell="E13" sqref="E13"/>
    </sheetView>
  </sheetViews>
  <sheetFormatPr defaultColWidth="12.5703125" defaultRowHeight="15.75" x14ac:dyDescent="0.25"/>
  <cols>
    <col min="1" max="1" width="49.28515625" style="65" customWidth="1"/>
    <col min="2" max="2" width="41" style="65" customWidth="1"/>
    <col min="3" max="16384" width="12.5703125" style="65"/>
  </cols>
  <sheetData>
    <row r="1" spans="1:2" x14ac:dyDescent="0.25">
      <c r="A1" s="67" t="s">
        <v>447</v>
      </c>
      <c r="B1" s="65" t="s">
        <v>440</v>
      </c>
    </row>
    <row r="2" spans="1:2" x14ac:dyDescent="0.25">
      <c r="A2" s="67" t="s">
        <v>402</v>
      </c>
      <c r="B2" s="65" t="s">
        <v>440</v>
      </c>
    </row>
    <row r="3" spans="1:2" x14ac:dyDescent="0.25">
      <c r="A3" s="67" t="s">
        <v>446</v>
      </c>
      <c r="B3" s="65" t="s">
        <v>440</v>
      </c>
    </row>
    <row r="4" spans="1:2" x14ac:dyDescent="0.25">
      <c r="A4" s="73" t="s">
        <v>445</v>
      </c>
      <c r="B4" s="74" t="s">
        <v>440</v>
      </c>
    </row>
    <row r="5" spans="1:2" x14ac:dyDescent="0.25">
      <c r="A5" s="67" t="s">
        <v>204</v>
      </c>
      <c r="B5" s="65" t="s">
        <v>440</v>
      </c>
    </row>
    <row r="6" spans="1:2" x14ac:dyDescent="0.25">
      <c r="A6" s="67" t="s">
        <v>444</v>
      </c>
      <c r="B6" s="65" t="s">
        <v>440</v>
      </c>
    </row>
    <row r="7" spans="1:2" x14ac:dyDescent="0.25">
      <c r="A7" s="67" t="s">
        <v>443</v>
      </c>
      <c r="B7" s="65" t="s">
        <v>440</v>
      </c>
    </row>
    <row r="8" spans="1:2" x14ac:dyDescent="0.25">
      <c r="A8" s="67" t="s">
        <v>280</v>
      </c>
      <c r="B8" s="65" t="s">
        <v>440</v>
      </c>
    </row>
    <row r="9" spans="1:2" x14ac:dyDescent="0.25">
      <c r="A9" s="67" t="s">
        <v>282</v>
      </c>
      <c r="B9" s="65" t="s">
        <v>440</v>
      </c>
    </row>
    <row r="10" spans="1:2" x14ac:dyDescent="0.25">
      <c r="A10" s="67" t="s">
        <v>284</v>
      </c>
      <c r="B10" s="65" t="s">
        <v>440</v>
      </c>
    </row>
    <row r="11" spans="1:2" x14ac:dyDescent="0.25">
      <c r="A11" s="67" t="s">
        <v>288</v>
      </c>
      <c r="B11" s="65" t="s">
        <v>440</v>
      </c>
    </row>
    <row r="12" spans="1:2" x14ac:dyDescent="0.25">
      <c r="A12" s="67" t="s">
        <v>290</v>
      </c>
      <c r="B12" s="65" t="s">
        <v>440</v>
      </c>
    </row>
    <row r="13" spans="1:2" x14ac:dyDescent="0.25">
      <c r="A13" s="67" t="s">
        <v>242</v>
      </c>
      <c r="B13" s="65" t="s">
        <v>442</v>
      </c>
    </row>
    <row r="14" spans="1:2" x14ac:dyDescent="0.25">
      <c r="A14" s="67" t="s">
        <v>441</v>
      </c>
      <c r="B14" s="65" t="s">
        <v>440</v>
      </c>
    </row>
    <row r="15" spans="1:2" x14ac:dyDescent="0.25">
      <c r="A15" s="67" t="s">
        <v>260</v>
      </c>
      <c r="B15" s="65" t="s">
        <v>440</v>
      </c>
    </row>
    <row r="16" spans="1:2" x14ac:dyDescent="0.25">
      <c r="A16" s="67" t="s">
        <v>182</v>
      </c>
      <c r="B16" s="65" t="s">
        <v>403</v>
      </c>
    </row>
    <row r="17" spans="1:2" x14ac:dyDescent="0.25">
      <c r="A17" s="67" t="s">
        <v>267</v>
      </c>
      <c r="B17" s="65" t="s">
        <v>403</v>
      </c>
    </row>
    <row r="18" spans="1:2" x14ac:dyDescent="0.25">
      <c r="A18" s="67" t="s">
        <v>439</v>
      </c>
      <c r="B18" s="65" t="s">
        <v>403</v>
      </c>
    </row>
    <row r="19" spans="1:2" x14ac:dyDescent="0.25">
      <c r="A19" s="67" t="s">
        <v>271</v>
      </c>
      <c r="B19" s="65" t="s">
        <v>403</v>
      </c>
    </row>
    <row r="20" spans="1:2" x14ac:dyDescent="0.25">
      <c r="A20" s="67" t="s">
        <v>277</v>
      </c>
      <c r="B20" s="65" t="s">
        <v>403</v>
      </c>
    </row>
    <row r="21" spans="1:2" x14ac:dyDescent="0.25">
      <c r="A21" s="66" t="s">
        <v>438</v>
      </c>
      <c r="B21" s="65" t="s">
        <v>436</v>
      </c>
    </row>
    <row r="22" spans="1:2" x14ac:dyDescent="0.25">
      <c r="A22" s="66" t="s">
        <v>437</v>
      </c>
      <c r="B22" s="65" t="s">
        <v>436</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F9076-7200-46E2-B970-493847430874}">
  <dimension ref="A1:M92"/>
  <sheetViews>
    <sheetView workbookViewId="0">
      <pane ySplit="2" topLeftCell="A71" activePane="bottomLeft" state="frozen"/>
      <selection pane="bottomLeft" activeCell="E77" sqref="E77"/>
    </sheetView>
  </sheetViews>
  <sheetFormatPr defaultRowHeight="15" x14ac:dyDescent="0.25"/>
  <cols>
    <col min="1" max="1" width="7.85546875" customWidth="1"/>
    <col min="2" max="2" width="26" bestFit="1" customWidth="1"/>
    <col min="3" max="3" width="26.42578125" customWidth="1"/>
    <col min="4" max="4" width="8.7109375" customWidth="1"/>
    <col min="5" max="5" width="13.42578125" customWidth="1"/>
    <col min="6" max="6" width="13.7109375" customWidth="1"/>
    <col min="7" max="7" width="12.140625" bestFit="1" customWidth="1"/>
    <col min="8" max="8" width="12.85546875" bestFit="1" customWidth="1"/>
    <col min="9" max="9" width="26.28515625" bestFit="1" customWidth="1"/>
    <col min="10" max="10" width="7.85546875" customWidth="1"/>
    <col min="11" max="12" width="14.42578125" customWidth="1"/>
    <col min="13" max="13" width="24.28515625" customWidth="1"/>
  </cols>
  <sheetData>
    <row r="1" spans="1:13" s="1" customFormat="1" ht="30" x14ac:dyDescent="0.25">
      <c r="A1" s="50" t="s">
        <v>378</v>
      </c>
      <c r="B1" s="51" t="s">
        <v>393</v>
      </c>
      <c r="C1" s="52" t="s">
        <v>293</v>
      </c>
      <c r="D1" s="52" t="s">
        <v>297</v>
      </c>
      <c r="E1" s="52" t="s">
        <v>294</v>
      </c>
      <c r="F1" s="52" t="s">
        <v>298</v>
      </c>
      <c r="G1" s="52" t="s">
        <v>1</v>
      </c>
      <c r="H1" s="52" t="s">
        <v>0</v>
      </c>
      <c r="I1" s="52" t="s">
        <v>377</v>
      </c>
      <c r="J1" s="52" t="s">
        <v>379</v>
      </c>
      <c r="K1" s="52" t="s">
        <v>424</v>
      </c>
      <c r="L1" s="52" t="s">
        <v>425</v>
      </c>
      <c r="M1" s="52" t="s">
        <v>296</v>
      </c>
    </row>
    <row r="2" spans="1:13" s="1" customFormat="1" x14ac:dyDescent="0.25">
      <c r="A2" s="50">
        <v>1</v>
      </c>
      <c r="B2" s="51">
        <v>2</v>
      </c>
      <c r="C2" s="50">
        <v>3</v>
      </c>
      <c r="D2" s="51">
        <v>4</v>
      </c>
      <c r="E2" s="50">
        <v>5</v>
      </c>
      <c r="F2" s="51">
        <v>6</v>
      </c>
      <c r="G2" s="50">
        <v>7</v>
      </c>
      <c r="H2" s="51">
        <v>8</v>
      </c>
      <c r="I2" s="50">
        <v>9</v>
      </c>
      <c r="J2" s="51">
        <v>10</v>
      </c>
      <c r="K2" s="50">
        <v>11</v>
      </c>
      <c r="L2" s="51">
        <v>12</v>
      </c>
      <c r="M2" s="52">
        <v>13</v>
      </c>
    </row>
    <row r="3" spans="1:13" ht="22.5" x14ac:dyDescent="0.25">
      <c r="A3" s="4" t="s">
        <v>47</v>
      </c>
      <c r="B3" s="4" t="s">
        <v>380</v>
      </c>
      <c r="C3" s="28" t="s">
        <v>135</v>
      </c>
      <c r="D3" s="45">
        <v>18</v>
      </c>
      <c r="E3" s="46" t="s">
        <v>136</v>
      </c>
      <c r="F3" s="45">
        <v>1</v>
      </c>
      <c r="G3" s="4" t="s">
        <v>46</v>
      </c>
      <c r="H3" s="4" t="s">
        <v>45</v>
      </c>
      <c r="I3" s="4" t="s">
        <v>299</v>
      </c>
      <c r="J3" s="4" t="e">
        <f>VLOOKUP(G:G,#REF!,2,0)</f>
        <v>#REF!</v>
      </c>
      <c r="K3" s="4"/>
      <c r="L3" s="4"/>
      <c r="M3" s="5" t="s">
        <v>138</v>
      </c>
    </row>
    <row r="4" spans="1:13" ht="33.75" x14ac:dyDescent="0.25">
      <c r="A4" s="4" t="s">
        <v>64</v>
      </c>
      <c r="B4" s="4" t="s">
        <v>380</v>
      </c>
      <c r="C4" s="28" t="s">
        <v>135</v>
      </c>
      <c r="D4" s="47">
        <v>17</v>
      </c>
      <c r="E4" s="48" t="s">
        <v>139</v>
      </c>
      <c r="F4" s="47">
        <v>1</v>
      </c>
      <c r="G4" s="4" t="s">
        <v>63</v>
      </c>
      <c r="H4" s="4" t="s">
        <v>62</v>
      </c>
      <c r="I4" s="4" t="s">
        <v>300</v>
      </c>
      <c r="J4" s="4" t="e">
        <f>VLOOKUP(G:G,#REF!,2,0)</f>
        <v>#REF!</v>
      </c>
      <c r="K4" s="4"/>
      <c r="L4" s="4"/>
      <c r="M4" s="5" t="s">
        <v>141</v>
      </c>
    </row>
    <row r="5" spans="1:13" ht="33.75" x14ac:dyDescent="0.25">
      <c r="A5" s="4" t="s">
        <v>123</v>
      </c>
      <c r="B5" s="4" t="s">
        <v>380</v>
      </c>
      <c r="C5" s="28" t="s">
        <v>135</v>
      </c>
      <c r="D5" s="45">
        <v>17</v>
      </c>
      <c r="E5" s="46" t="s">
        <v>139</v>
      </c>
      <c r="F5" s="45">
        <v>1</v>
      </c>
      <c r="G5" s="4" t="s">
        <v>122</v>
      </c>
      <c r="H5" s="4" t="s">
        <v>121</v>
      </c>
      <c r="I5" s="4" t="s">
        <v>301</v>
      </c>
      <c r="J5" s="4" t="e">
        <f>VLOOKUP(G:G,#REF!,2,0)</f>
        <v>#REF!</v>
      </c>
      <c r="K5" s="4"/>
      <c r="L5" s="4"/>
      <c r="M5" s="5" t="s">
        <v>143</v>
      </c>
    </row>
    <row r="6" spans="1:13" ht="33.75" x14ac:dyDescent="0.25">
      <c r="A6" s="4" t="s">
        <v>38</v>
      </c>
      <c r="B6" s="4" t="s">
        <v>380</v>
      </c>
      <c r="C6" s="28" t="s">
        <v>135</v>
      </c>
      <c r="D6" s="47">
        <v>17</v>
      </c>
      <c r="E6" s="48" t="s">
        <v>139</v>
      </c>
      <c r="F6" s="47">
        <v>1</v>
      </c>
      <c r="G6" s="4" t="s">
        <v>37</v>
      </c>
      <c r="H6" s="4" t="s">
        <v>36</v>
      </c>
      <c r="I6" s="4" t="s">
        <v>302</v>
      </c>
      <c r="J6" s="4" t="e">
        <f>VLOOKUP(G:G,#REF!,2,0)</f>
        <v>#REF!</v>
      </c>
      <c r="K6" s="4"/>
      <c r="L6" s="4"/>
      <c r="M6" s="5" t="s">
        <v>145</v>
      </c>
    </row>
    <row r="7" spans="1:13" ht="21" x14ac:dyDescent="0.25">
      <c r="A7" s="9" t="e">
        <v>#N/A</v>
      </c>
      <c r="B7" s="9"/>
      <c r="C7" s="6"/>
      <c r="D7" s="6"/>
      <c r="E7" s="7" t="s">
        <v>146</v>
      </c>
      <c r="F7" s="8">
        <v>4</v>
      </c>
      <c r="G7" s="9">
        <v>4</v>
      </c>
      <c r="H7" s="9"/>
      <c r="I7" s="9"/>
      <c r="J7" s="9" t="e">
        <f>VLOOKUP(G:G,#REF!,2,0)</f>
        <v>#REF!</v>
      </c>
      <c r="K7" s="9"/>
      <c r="L7" s="9"/>
      <c r="M7" s="10"/>
    </row>
    <row r="8" spans="1:13" x14ac:dyDescent="0.25">
      <c r="A8" s="11" t="e">
        <v>#N/A</v>
      </c>
      <c r="B8" s="11" t="s">
        <v>381</v>
      </c>
      <c r="C8" s="16" t="s">
        <v>147</v>
      </c>
      <c r="D8" s="47">
        <v>16</v>
      </c>
      <c r="E8" s="48" t="s">
        <v>148</v>
      </c>
      <c r="F8" s="47">
        <v>1</v>
      </c>
      <c r="G8" s="11" t="s">
        <v>303</v>
      </c>
      <c r="H8" s="11" t="s">
        <v>2</v>
      </c>
      <c r="I8" s="11" t="s">
        <v>304</v>
      </c>
      <c r="J8" s="11" t="e">
        <f>VLOOKUP(G:G,#REF!,2,0)</f>
        <v>#REF!</v>
      </c>
      <c r="K8" s="11"/>
      <c r="L8" s="11"/>
      <c r="M8" s="12" t="s">
        <v>150</v>
      </c>
    </row>
    <row r="9" spans="1:13" x14ac:dyDescent="0.25">
      <c r="A9" s="11" t="e">
        <v>#N/A</v>
      </c>
      <c r="B9" s="11" t="s">
        <v>381</v>
      </c>
      <c r="C9" s="16" t="s">
        <v>147</v>
      </c>
      <c r="D9" s="45">
        <v>14</v>
      </c>
      <c r="E9" s="46" t="s">
        <v>151</v>
      </c>
      <c r="F9" s="45">
        <v>1</v>
      </c>
      <c r="G9" s="11" t="s">
        <v>305</v>
      </c>
      <c r="H9" s="11" t="s">
        <v>101</v>
      </c>
      <c r="I9" s="11" t="s">
        <v>306</v>
      </c>
      <c r="J9" s="11" t="e">
        <f>VLOOKUP(G:G,#REF!,2,0)</f>
        <v>#REF!</v>
      </c>
      <c r="K9" s="11"/>
      <c r="L9" s="11"/>
      <c r="M9" s="12" t="s">
        <v>145</v>
      </c>
    </row>
    <row r="10" spans="1:13" ht="22.5" x14ac:dyDescent="0.25">
      <c r="A10" s="11" t="e">
        <v>#N/A</v>
      </c>
      <c r="B10" s="11" t="s">
        <v>381</v>
      </c>
      <c r="C10" s="16" t="s">
        <v>147</v>
      </c>
      <c r="D10" s="47">
        <v>14</v>
      </c>
      <c r="E10" s="48" t="s">
        <v>153</v>
      </c>
      <c r="F10" s="47">
        <v>1</v>
      </c>
      <c r="G10" s="11" t="s">
        <v>307</v>
      </c>
      <c r="H10" s="11" t="s">
        <v>42</v>
      </c>
      <c r="I10" s="11" t="s">
        <v>308</v>
      </c>
      <c r="J10" s="11" t="e">
        <f>VLOOKUP(G:G,#REF!,2,0)</f>
        <v>#REF!</v>
      </c>
      <c r="K10" s="11"/>
      <c r="L10" s="11"/>
      <c r="M10" s="13" t="s">
        <v>155</v>
      </c>
    </row>
    <row r="11" spans="1:13" ht="22.5" x14ac:dyDescent="0.25">
      <c r="A11" s="14" t="e">
        <v>#N/A</v>
      </c>
      <c r="B11" s="11" t="s">
        <v>381</v>
      </c>
      <c r="C11" s="16" t="s">
        <v>147</v>
      </c>
      <c r="D11" s="45">
        <v>13</v>
      </c>
      <c r="E11" s="46" t="s">
        <v>153</v>
      </c>
      <c r="F11" s="45">
        <v>1</v>
      </c>
      <c r="G11" s="49" t="s">
        <v>309</v>
      </c>
      <c r="H11" s="49" t="s">
        <v>310</v>
      </c>
      <c r="I11" s="49" t="s">
        <v>311</v>
      </c>
      <c r="J11" s="49" t="e">
        <f>VLOOKUP(G:G,#REF!,2,0)</f>
        <v>#REF!</v>
      </c>
      <c r="K11" s="49"/>
      <c r="L11" s="49"/>
      <c r="M11" s="12"/>
    </row>
    <row r="12" spans="1:13" ht="22.5" x14ac:dyDescent="0.25">
      <c r="A12" s="11" t="e">
        <v>#N/A</v>
      </c>
      <c r="B12" s="11" t="s">
        <v>381</v>
      </c>
      <c r="C12" s="16" t="s">
        <v>147</v>
      </c>
      <c r="D12" s="47">
        <v>11</v>
      </c>
      <c r="E12" s="48" t="s">
        <v>153</v>
      </c>
      <c r="F12" s="47">
        <v>1</v>
      </c>
      <c r="G12" s="11" t="s">
        <v>312</v>
      </c>
      <c r="H12" s="11" t="s">
        <v>310</v>
      </c>
      <c r="I12" s="11" t="s">
        <v>313</v>
      </c>
      <c r="J12" s="11" t="e">
        <f>VLOOKUP(G:G,#REF!,2,0)</f>
        <v>#REF!</v>
      </c>
      <c r="K12" s="11"/>
      <c r="L12" s="11"/>
      <c r="M12" s="12" t="s">
        <v>158</v>
      </c>
    </row>
    <row r="13" spans="1:13" ht="21" x14ac:dyDescent="0.25">
      <c r="A13" s="9" t="e">
        <v>#N/A</v>
      </c>
      <c r="B13" s="9"/>
      <c r="C13" s="6"/>
      <c r="D13" s="6"/>
      <c r="E13" s="7" t="s">
        <v>146</v>
      </c>
      <c r="F13" s="8">
        <v>5</v>
      </c>
      <c r="G13" s="9">
        <v>5</v>
      </c>
      <c r="H13" s="9"/>
      <c r="I13" s="9"/>
      <c r="J13" s="9" t="e">
        <f>VLOOKUP(G:G,#REF!,2,0)</f>
        <v>#REF!</v>
      </c>
      <c r="K13" s="9"/>
      <c r="L13" s="9"/>
      <c r="M13" s="10"/>
    </row>
    <row r="14" spans="1:13" ht="22.5" x14ac:dyDescent="0.25">
      <c r="A14" s="4" t="s">
        <v>11</v>
      </c>
      <c r="B14" s="4" t="s">
        <v>382</v>
      </c>
      <c r="C14" s="16" t="s">
        <v>159</v>
      </c>
      <c r="D14" s="47">
        <v>16</v>
      </c>
      <c r="E14" s="48" t="s">
        <v>148</v>
      </c>
      <c r="F14" s="47">
        <v>1</v>
      </c>
      <c r="G14" s="4" t="s">
        <v>10</v>
      </c>
      <c r="H14" s="4" t="s">
        <v>9</v>
      </c>
      <c r="I14" s="4" t="s">
        <v>314</v>
      </c>
      <c r="J14" s="4" t="e">
        <f>VLOOKUP(G:G,#REF!,2,0)</f>
        <v>#REF!</v>
      </c>
      <c r="K14" s="4" t="s">
        <v>10</v>
      </c>
      <c r="L14" s="4" t="s">
        <v>37</v>
      </c>
      <c r="M14" s="5" t="s">
        <v>161</v>
      </c>
    </row>
    <row r="15" spans="1:13" ht="33.75" x14ac:dyDescent="0.25">
      <c r="A15" s="4" t="e">
        <v>#N/A</v>
      </c>
      <c r="B15" s="4" t="s">
        <v>382</v>
      </c>
      <c r="C15" s="16" t="s">
        <v>159</v>
      </c>
      <c r="D15" s="45">
        <v>15</v>
      </c>
      <c r="E15" s="15" t="s">
        <v>162</v>
      </c>
      <c r="F15" s="16">
        <v>1</v>
      </c>
      <c r="G15" s="4"/>
      <c r="H15" s="4"/>
      <c r="I15" s="4"/>
      <c r="J15" s="4" t="e">
        <f>VLOOKUP(G:G,#REF!,2,0)</f>
        <v>#REF!</v>
      </c>
      <c r="K15" s="4" t="s">
        <v>10</v>
      </c>
      <c r="L15" s="4" t="s">
        <v>37</v>
      </c>
      <c r="M15" s="5"/>
    </row>
    <row r="16" spans="1:13" ht="22.5" x14ac:dyDescent="0.25">
      <c r="A16" s="4" t="s">
        <v>29</v>
      </c>
      <c r="B16" s="4" t="s">
        <v>382</v>
      </c>
      <c r="C16" s="16" t="s">
        <v>159</v>
      </c>
      <c r="D16" s="16">
        <v>14</v>
      </c>
      <c r="E16" s="15" t="s">
        <v>151</v>
      </c>
      <c r="F16" s="16">
        <v>1</v>
      </c>
      <c r="G16" s="4" t="s">
        <v>28</v>
      </c>
      <c r="H16" s="4" t="s">
        <v>27</v>
      </c>
      <c r="I16" s="4" t="s">
        <v>315</v>
      </c>
      <c r="J16" s="4" t="e">
        <f>VLOOKUP(G:G,#REF!,2,0)</f>
        <v>#REF!</v>
      </c>
      <c r="K16" s="4" t="s">
        <v>10</v>
      </c>
      <c r="L16" s="4" t="s">
        <v>37</v>
      </c>
      <c r="M16" s="5" t="s">
        <v>164</v>
      </c>
    </row>
    <row r="17" spans="1:13" ht="22.5" x14ac:dyDescent="0.25">
      <c r="A17" s="11" t="e">
        <v>#N/A</v>
      </c>
      <c r="B17" s="4" t="s">
        <v>382</v>
      </c>
      <c r="C17" s="16" t="s">
        <v>159</v>
      </c>
      <c r="D17" s="16">
        <v>14</v>
      </c>
      <c r="E17" s="15" t="s">
        <v>151</v>
      </c>
      <c r="F17" s="16">
        <v>1</v>
      </c>
      <c r="G17" s="11" t="s">
        <v>316</v>
      </c>
      <c r="H17" s="11" t="s">
        <v>317</v>
      </c>
      <c r="I17" s="11" t="s">
        <v>318</v>
      </c>
      <c r="J17" s="11" t="e">
        <f>VLOOKUP(G:G,#REF!,2,0)</f>
        <v>#REF!</v>
      </c>
      <c r="K17" s="4" t="s">
        <v>10</v>
      </c>
      <c r="L17" s="4" t="s">
        <v>37</v>
      </c>
      <c r="M17" s="12" t="s">
        <v>166</v>
      </c>
    </row>
    <row r="18" spans="1:13" ht="22.5" x14ac:dyDescent="0.25">
      <c r="A18" s="11" t="e">
        <v>#N/A</v>
      </c>
      <c r="B18" s="4" t="s">
        <v>382</v>
      </c>
      <c r="C18" s="16" t="s">
        <v>159</v>
      </c>
      <c r="D18" s="16">
        <v>14</v>
      </c>
      <c r="E18" s="15" t="s">
        <v>151</v>
      </c>
      <c r="F18" s="16">
        <v>1</v>
      </c>
      <c r="G18" s="11" t="s">
        <v>319</v>
      </c>
      <c r="H18" s="11" t="s">
        <v>36</v>
      </c>
      <c r="I18" s="11" t="s">
        <v>320</v>
      </c>
      <c r="J18" s="11" t="e">
        <f>VLOOKUP(G:G,#REF!,2,0)</f>
        <v>#REF!</v>
      </c>
      <c r="K18" s="4" t="s">
        <v>10</v>
      </c>
      <c r="L18" s="4" t="s">
        <v>37</v>
      </c>
      <c r="M18" s="12" t="s">
        <v>168</v>
      </c>
    </row>
    <row r="19" spans="1:13" ht="22.5" x14ac:dyDescent="0.25">
      <c r="A19" s="4" t="s">
        <v>115</v>
      </c>
      <c r="B19" s="4" t="s">
        <v>382</v>
      </c>
      <c r="C19" s="16" t="s">
        <v>159</v>
      </c>
      <c r="D19" s="16">
        <v>14</v>
      </c>
      <c r="E19" s="15" t="s">
        <v>151</v>
      </c>
      <c r="F19" s="16">
        <v>1</v>
      </c>
      <c r="G19" s="4" t="s">
        <v>114</v>
      </c>
      <c r="H19" s="4" t="s">
        <v>113</v>
      </c>
      <c r="I19" s="4" t="s">
        <v>321</v>
      </c>
      <c r="J19" s="4" t="e">
        <f>VLOOKUP(G:G,#REF!,2,0)</f>
        <v>#REF!</v>
      </c>
      <c r="K19" s="4" t="s">
        <v>10</v>
      </c>
      <c r="L19" s="4" t="s">
        <v>37</v>
      </c>
      <c r="M19" s="5" t="s">
        <v>170</v>
      </c>
    </row>
    <row r="20" spans="1:13" ht="22.5" x14ac:dyDescent="0.25">
      <c r="A20" s="4" t="s">
        <v>128</v>
      </c>
      <c r="B20" s="4" t="s">
        <v>382</v>
      </c>
      <c r="C20" s="16" t="s">
        <v>159</v>
      </c>
      <c r="D20" s="16">
        <v>14</v>
      </c>
      <c r="E20" s="15" t="s">
        <v>151</v>
      </c>
      <c r="F20" s="16">
        <v>1</v>
      </c>
      <c r="G20" s="4" t="s">
        <v>127</v>
      </c>
      <c r="H20" s="4" t="s">
        <v>126</v>
      </c>
      <c r="I20" s="4" t="s">
        <v>322</v>
      </c>
      <c r="J20" s="4" t="e">
        <f>VLOOKUP(G:G,#REF!,2,0)</f>
        <v>#REF!</v>
      </c>
      <c r="K20" s="4" t="s">
        <v>10</v>
      </c>
      <c r="L20" s="4" t="s">
        <v>37</v>
      </c>
      <c r="M20" s="5" t="s">
        <v>172</v>
      </c>
    </row>
    <row r="21" spans="1:13" ht="22.5" x14ac:dyDescent="0.25">
      <c r="A21" s="17" t="e">
        <v>#N/A</v>
      </c>
      <c r="B21" s="4" t="s">
        <v>382</v>
      </c>
      <c r="C21" s="16" t="s">
        <v>159</v>
      </c>
      <c r="D21" s="16">
        <v>13</v>
      </c>
      <c r="E21" s="46" t="s">
        <v>153</v>
      </c>
      <c r="F21" s="45">
        <v>1</v>
      </c>
      <c r="G21" s="17" t="s">
        <v>323</v>
      </c>
      <c r="H21" s="17" t="s">
        <v>59</v>
      </c>
      <c r="I21" s="17" t="s">
        <v>324</v>
      </c>
      <c r="J21" s="17" t="e">
        <f>VLOOKUP(G:G,#REF!,2,0)</f>
        <v>#REF!</v>
      </c>
      <c r="K21" s="4" t="s">
        <v>10</v>
      </c>
      <c r="L21" s="4" t="s">
        <v>37</v>
      </c>
      <c r="M21" s="5" t="s">
        <v>392</v>
      </c>
    </row>
    <row r="22" spans="1:13" ht="22.5" x14ac:dyDescent="0.25">
      <c r="A22" s="11" t="e">
        <v>#N/A</v>
      </c>
      <c r="B22" s="4" t="s">
        <v>382</v>
      </c>
      <c r="C22" s="16" t="s">
        <v>159</v>
      </c>
      <c r="D22" s="16">
        <v>12</v>
      </c>
      <c r="E22" s="15" t="s">
        <v>153</v>
      </c>
      <c r="F22" s="16">
        <v>1</v>
      </c>
      <c r="G22" s="11"/>
      <c r="H22" s="11"/>
      <c r="I22" s="11"/>
      <c r="J22" s="11" t="e">
        <f>VLOOKUP(G:G,#REF!,2,0)</f>
        <v>#REF!</v>
      </c>
      <c r="K22" s="4" t="s">
        <v>10</v>
      </c>
      <c r="L22" s="4" t="s">
        <v>37</v>
      </c>
      <c r="M22" s="12"/>
    </row>
    <row r="23" spans="1:13" ht="21" x14ac:dyDescent="0.25">
      <c r="A23" s="9" t="e">
        <v>#N/A</v>
      </c>
      <c r="B23" s="9"/>
      <c r="C23" s="6"/>
      <c r="D23" s="6"/>
      <c r="E23" s="7" t="s">
        <v>146</v>
      </c>
      <c r="F23" s="8">
        <v>9</v>
      </c>
      <c r="G23" s="9">
        <v>8</v>
      </c>
      <c r="H23" s="9"/>
      <c r="I23" s="9"/>
      <c r="J23" s="9" t="e">
        <f>VLOOKUP(G:G,#REF!,2,0)</f>
        <v>#REF!</v>
      </c>
      <c r="K23" s="9"/>
      <c r="L23" s="9"/>
      <c r="M23" s="10"/>
    </row>
    <row r="24" spans="1:13" ht="22.5" x14ac:dyDescent="0.25">
      <c r="A24" s="4" t="s">
        <v>58</v>
      </c>
      <c r="B24" s="4" t="s">
        <v>383</v>
      </c>
      <c r="C24" s="16" t="s">
        <v>175</v>
      </c>
      <c r="D24" s="47">
        <v>16</v>
      </c>
      <c r="E24" s="48" t="s">
        <v>148</v>
      </c>
      <c r="F24" s="47">
        <v>1</v>
      </c>
      <c r="G24" s="4" t="s">
        <v>57</v>
      </c>
      <c r="H24" s="4" t="s">
        <v>30</v>
      </c>
      <c r="I24" s="4" t="s">
        <v>325</v>
      </c>
      <c r="J24" s="4" t="e">
        <f>VLOOKUP(G:G,#REF!,2,0)</f>
        <v>#REF!</v>
      </c>
      <c r="K24" s="4" t="s">
        <v>57</v>
      </c>
      <c r="L24" s="4" t="s">
        <v>37</v>
      </c>
      <c r="M24" s="5" t="s">
        <v>177</v>
      </c>
    </row>
    <row r="25" spans="1:13" ht="33.75" x14ac:dyDescent="0.25">
      <c r="A25" s="4" t="s">
        <v>14</v>
      </c>
      <c r="B25" s="4" t="s">
        <v>383</v>
      </c>
      <c r="C25" s="16" t="s">
        <v>175</v>
      </c>
      <c r="D25" s="45">
        <v>15</v>
      </c>
      <c r="E25" s="15" t="s">
        <v>162</v>
      </c>
      <c r="F25" s="16">
        <v>1</v>
      </c>
      <c r="G25" s="4" t="s">
        <v>13</v>
      </c>
      <c r="H25" s="4" t="s">
        <v>12</v>
      </c>
      <c r="I25" s="4" t="s">
        <v>326</v>
      </c>
      <c r="J25" s="4" t="e">
        <f>VLOOKUP(G:G,#REF!,2,0)</f>
        <v>#REF!</v>
      </c>
      <c r="K25" s="4" t="s">
        <v>57</v>
      </c>
      <c r="L25" s="4" t="s">
        <v>37</v>
      </c>
      <c r="M25" s="5" t="s">
        <v>179</v>
      </c>
    </row>
    <row r="26" spans="1:13" ht="22.5" x14ac:dyDescent="0.25">
      <c r="A26" s="4" t="s">
        <v>120</v>
      </c>
      <c r="B26" s="4" t="s">
        <v>383</v>
      </c>
      <c r="C26" s="16" t="s">
        <v>175</v>
      </c>
      <c r="D26" s="16">
        <v>14</v>
      </c>
      <c r="E26" s="15" t="s">
        <v>151</v>
      </c>
      <c r="F26" s="16">
        <v>1</v>
      </c>
      <c r="G26" s="4" t="s">
        <v>119</v>
      </c>
      <c r="H26" s="4" t="s">
        <v>118</v>
      </c>
      <c r="I26" s="4" t="s">
        <v>327</v>
      </c>
      <c r="J26" s="4" t="e">
        <f>VLOOKUP(G:G,#REF!,2,0)</f>
        <v>#REF!</v>
      </c>
      <c r="K26" s="4" t="s">
        <v>57</v>
      </c>
      <c r="L26" s="4" t="s">
        <v>37</v>
      </c>
      <c r="M26" s="5" t="s">
        <v>181</v>
      </c>
    </row>
    <row r="27" spans="1:13" ht="22.5" x14ac:dyDescent="0.25">
      <c r="A27" s="4" t="s">
        <v>131</v>
      </c>
      <c r="B27" s="4" t="s">
        <v>383</v>
      </c>
      <c r="C27" s="16" t="s">
        <v>175</v>
      </c>
      <c r="D27" s="16">
        <v>14</v>
      </c>
      <c r="E27" s="15" t="s">
        <v>151</v>
      </c>
      <c r="F27" s="16">
        <v>1</v>
      </c>
      <c r="G27" s="4" t="s">
        <v>130</v>
      </c>
      <c r="H27" s="4" t="s">
        <v>129</v>
      </c>
      <c r="I27" s="4" t="s">
        <v>324</v>
      </c>
      <c r="J27" s="4" t="e">
        <f>VLOOKUP(G:G,#REF!,2,0)</f>
        <v>#REF!</v>
      </c>
      <c r="K27" s="4" t="s">
        <v>57</v>
      </c>
      <c r="L27" s="4" t="s">
        <v>37</v>
      </c>
      <c r="M27" s="5" t="s">
        <v>183</v>
      </c>
    </row>
    <row r="28" spans="1:13" ht="22.5" x14ac:dyDescent="0.25">
      <c r="A28" s="11" t="e">
        <v>#N/A</v>
      </c>
      <c r="B28" s="4" t="s">
        <v>383</v>
      </c>
      <c r="C28" s="16" t="s">
        <v>175</v>
      </c>
      <c r="D28" s="16">
        <v>13</v>
      </c>
      <c r="E28" s="15" t="s">
        <v>153</v>
      </c>
      <c r="F28" s="16">
        <v>1</v>
      </c>
      <c r="G28" s="11" t="s">
        <v>328</v>
      </c>
      <c r="H28" s="11" t="s">
        <v>113</v>
      </c>
      <c r="I28" s="11" t="s">
        <v>329</v>
      </c>
      <c r="J28" s="11" t="e">
        <f>VLOOKUP(G:G,#REF!,2,0)</f>
        <v>#REF!</v>
      </c>
      <c r="K28" s="4" t="s">
        <v>57</v>
      </c>
      <c r="L28" s="4" t="s">
        <v>37</v>
      </c>
      <c r="M28" s="18" t="s">
        <v>185</v>
      </c>
    </row>
    <row r="29" spans="1:13" ht="22.5" x14ac:dyDescent="0.25">
      <c r="A29" s="11" t="e">
        <v>#N/A</v>
      </c>
      <c r="B29" s="4" t="s">
        <v>383</v>
      </c>
      <c r="C29" s="16" t="s">
        <v>175</v>
      </c>
      <c r="D29" s="16">
        <v>13</v>
      </c>
      <c r="E29" s="46" t="s">
        <v>153</v>
      </c>
      <c r="F29" s="45">
        <v>1</v>
      </c>
      <c r="G29" s="11" t="s">
        <v>330</v>
      </c>
      <c r="H29" s="11" t="s">
        <v>331</v>
      </c>
      <c r="I29" s="11" t="s">
        <v>332</v>
      </c>
      <c r="J29" s="11" t="e">
        <f>VLOOKUP(G:G,#REF!,2,0)</f>
        <v>#REF!</v>
      </c>
      <c r="K29" s="4" t="s">
        <v>57</v>
      </c>
      <c r="L29" s="4" t="s">
        <v>37</v>
      </c>
      <c r="M29" s="12" t="s">
        <v>187</v>
      </c>
    </row>
    <row r="30" spans="1:13" ht="21" x14ac:dyDescent="0.25">
      <c r="A30" s="9" t="e">
        <v>#N/A</v>
      </c>
      <c r="B30" s="9"/>
      <c r="C30" s="6"/>
      <c r="D30" s="6"/>
      <c r="E30" s="7" t="s">
        <v>146</v>
      </c>
      <c r="F30" s="8">
        <v>6</v>
      </c>
      <c r="G30" s="9">
        <v>6</v>
      </c>
      <c r="H30" s="9"/>
      <c r="I30" s="9"/>
      <c r="J30" s="9" t="e">
        <f>VLOOKUP(G:G,#REF!,2,0)</f>
        <v>#REF!</v>
      </c>
      <c r="K30" s="9"/>
      <c r="L30" s="9"/>
      <c r="M30" s="10"/>
    </row>
    <row r="31" spans="1:13" ht="22.5" x14ac:dyDescent="0.25">
      <c r="A31" s="4" t="s">
        <v>87</v>
      </c>
      <c r="B31" s="4" t="s">
        <v>385</v>
      </c>
      <c r="C31" s="16" t="s">
        <v>188</v>
      </c>
      <c r="D31" s="45">
        <v>16</v>
      </c>
      <c r="E31" s="46" t="s">
        <v>148</v>
      </c>
      <c r="F31" s="45">
        <v>1</v>
      </c>
      <c r="G31" s="4" t="s">
        <v>86</v>
      </c>
      <c r="H31" s="4" t="s">
        <v>42</v>
      </c>
      <c r="I31" s="4" t="s">
        <v>333</v>
      </c>
      <c r="J31" s="4" t="e">
        <f>VLOOKUP(G:G,#REF!,2,0)</f>
        <v>#REF!</v>
      </c>
      <c r="K31" s="4" t="s">
        <v>86</v>
      </c>
      <c r="L31" s="4" t="s">
        <v>37</v>
      </c>
      <c r="M31" s="5" t="s">
        <v>190</v>
      </c>
    </row>
    <row r="32" spans="1:13" ht="33.75" x14ac:dyDescent="0.25">
      <c r="A32" s="4" t="e">
        <v>#N/A</v>
      </c>
      <c r="B32" s="4" t="s">
        <v>385</v>
      </c>
      <c r="C32" s="16" t="s">
        <v>188</v>
      </c>
      <c r="D32" s="47">
        <v>15</v>
      </c>
      <c r="E32" s="15" t="s">
        <v>162</v>
      </c>
      <c r="F32" s="16">
        <v>1</v>
      </c>
      <c r="G32" s="4"/>
      <c r="H32" s="4"/>
      <c r="I32" s="4"/>
      <c r="J32" s="4" t="e">
        <f>VLOOKUP(G:G,#REF!,2,0)</f>
        <v>#REF!</v>
      </c>
      <c r="K32" s="4" t="s">
        <v>86</v>
      </c>
      <c r="L32" s="4" t="s">
        <v>37</v>
      </c>
      <c r="M32" s="5"/>
    </row>
    <row r="33" spans="1:13" ht="22.5" x14ac:dyDescent="0.25">
      <c r="A33" s="4" t="s">
        <v>117</v>
      </c>
      <c r="B33" s="4" t="s">
        <v>385</v>
      </c>
      <c r="C33" s="16" t="s">
        <v>188</v>
      </c>
      <c r="D33" s="16">
        <v>14</v>
      </c>
      <c r="E33" s="15" t="s">
        <v>151</v>
      </c>
      <c r="F33" s="16">
        <v>1</v>
      </c>
      <c r="G33" s="4" t="s">
        <v>116</v>
      </c>
      <c r="H33" s="4" t="s">
        <v>78</v>
      </c>
      <c r="I33" s="4" t="s">
        <v>334</v>
      </c>
      <c r="J33" s="4" t="e">
        <f>VLOOKUP(G:G,#REF!,2,0)</f>
        <v>#REF!</v>
      </c>
      <c r="K33" s="4" t="s">
        <v>86</v>
      </c>
      <c r="L33" s="4" t="s">
        <v>37</v>
      </c>
      <c r="M33" s="5" t="s">
        <v>192</v>
      </c>
    </row>
    <row r="34" spans="1:13" ht="22.5" x14ac:dyDescent="0.25">
      <c r="A34" s="4" t="s">
        <v>23</v>
      </c>
      <c r="B34" s="4" t="s">
        <v>385</v>
      </c>
      <c r="C34" s="16" t="s">
        <v>188</v>
      </c>
      <c r="D34" s="16">
        <v>14</v>
      </c>
      <c r="E34" s="15" t="s">
        <v>151</v>
      </c>
      <c r="F34" s="16">
        <v>1</v>
      </c>
      <c r="G34" s="4" t="s">
        <v>22</v>
      </c>
      <c r="H34" s="4" t="s">
        <v>21</v>
      </c>
      <c r="I34" s="4" t="s">
        <v>335</v>
      </c>
      <c r="J34" s="4" t="e">
        <f>VLOOKUP(G:G,#REF!,2,0)</f>
        <v>#REF!</v>
      </c>
      <c r="K34" s="4" t="s">
        <v>86</v>
      </c>
      <c r="L34" s="4" t="s">
        <v>37</v>
      </c>
      <c r="M34" s="5" t="s">
        <v>194</v>
      </c>
    </row>
    <row r="35" spans="1:13" ht="22.5" x14ac:dyDescent="0.25">
      <c r="A35" s="4" t="e">
        <v>#N/A</v>
      </c>
      <c r="B35" s="4" t="s">
        <v>385</v>
      </c>
      <c r="C35" s="16" t="s">
        <v>188</v>
      </c>
      <c r="D35" s="16">
        <v>13</v>
      </c>
      <c r="E35" s="15" t="s">
        <v>153</v>
      </c>
      <c r="F35" s="16">
        <v>1</v>
      </c>
      <c r="G35" s="4"/>
      <c r="H35" s="4"/>
      <c r="I35" s="4"/>
      <c r="J35" s="4" t="e">
        <f>VLOOKUP(G:G,#REF!,2,0)</f>
        <v>#REF!</v>
      </c>
      <c r="K35" s="4" t="s">
        <v>86</v>
      </c>
      <c r="L35" s="4" t="s">
        <v>37</v>
      </c>
      <c r="M35" s="5"/>
    </row>
    <row r="36" spans="1:13" ht="22.5" x14ac:dyDescent="0.25">
      <c r="A36" s="19" t="e">
        <v>#N/A</v>
      </c>
      <c r="B36" s="4" t="s">
        <v>385</v>
      </c>
      <c r="C36" s="16" t="s">
        <v>188</v>
      </c>
      <c r="D36" s="16">
        <v>13</v>
      </c>
      <c r="E36" s="48" t="s">
        <v>153</v>
      </c>
      <c r="F36" s="47">
        <v>1</v>
      </c>
      <c r="G36" s="19" t="s">
        <v>336</v>
      </c>
      <c r="H36" s="19" t="s">
        <v>21</v>
      </c>
      <c r="I36" s="19" t="s">
        <v>337</v>
      </c>
      <c r="J36" s="19" t="e">
        <f>VLOOKUP(G:G,#REF!,2,0)</f>
        <v>#REF!</v>
      </c>
      <c r="K36" s="4" t="s">
        <v>86</v>
      </c>
      <c r="L36" s="4" t="s">
        <v>37</v>
      </c>
      <c r="M36" s="12" t="s">
        <v>196</v>
      </c>
    </row>
    <row r="37" spans="1:13" ht="22.5" x14ac:dyDescent="0.25">
      <c r="A37" s="11" t="e">
        <v>#N/A</v>
      </c>
      <c r="B37" s="4" t="s">
        <v>385</v>
      </c>
      <c r="C37" s="16" t="s">
        <v>188</v>
      </c>
      <c r="D37" s="16">
        <v>12</v>
      </c>
      <c r="E37" s="46" t="s">
        <v>153</v>
      </c>
      <c r="F37" s="45">
        <v>1</v>
      </c>
      <c r="G37" s="11" t="s">
        <v>338</v>
      </c>
      <c r="H37" s="11" t="s">
        <v>129</v>
      </c>
      <c r="I37" s="11" t="s">
        <v>321</v>
      </c>
      <c r="J37" s="11" t="e">
        <f>VLOOKUP(G:G,#REF!,2,0)</f>
        <v>#REF!</v>
      </c>
      <c r="K37" s="4" t="s">
        <v>86</v>
      </c>
      <c r="L37" s="4" t="s">
        <v>37</v>
      </c>
      <c r="M37" s="12" t="s">
        <v>198</v>
      </c>
    </row>
    <row r="38" spans="1:13" ht="21" x14ac:dyDescent="0.25">
      <c r="A38" s="9" t="e">
        <v>#N/A</v>
      </c>
      <c r="B38" s="9"/>
      <c r="C38" s="6"/>
      <c r="D38" s="6"/>
      <c r="E38" s="7" t="s">
        <v>146</v>
      </c>
      <c r="F38" s="8">
        <v>7</v>
      </c>
      <c r="G38" s="9">
        <v>6</v>
      </c>
      <c r="H38" s="9"/>
      <c r="I38" s="9"/>
      <c r="J38" s="9" t="e">
        <f>VLOOKUP(G:G,#REF!,2,0)</f>
        <v>#REF!</v>
      </c>
      <c r="K38" s="9"/>
      <c r="L38" s="9"/>
      <c r="M38" s="10"/>
    </row>
    <row r="39" spans="1:13" ht="22.5" x14ac:dyDescent="0.25">
      <c r="A39" s="4" t="s">
        <v>77</v>
      </c>
      <c r="B39" s="4" t="s">
        <v>384</v>
      </c>
      <c r="C39" s="16" t="s">
        <v>199</v>
      </c>
      <c r="D39" s="45">
        <v>16</v>
      </c>
      <c r="E39" s="15" t="s">
        <v>148</v>
      </c>
      <c r="F39" s="16">
        <v>1</v>
      </c>
      <c r="G39" s="4" t="s">
        <v>76</v>
      </c>
      <c r="H39" s="4" t="s">
        <v>75</v>
      </c>
      <c r="I39" s="4" t="s">
        <v>339</v>
      </c>
      <c r="J39" s="4" t="e">
        <f>VLOOKUP(G:G,#REF!,2,0)</f>
        <v>#REF!</v>
      </c>
      <c r="K39" s="4" t="s">
        <v>76</v>
      </c>
      <c r="L39" s="4" t="s">
        <v>122</v>
      </c>
      <c r="M39" s="5" t="s">
        <v>201</v>
      </c>
    </row>
    <row r="40" spans="1:13" ht="33.75" x14ac:dyDescent="0.25">
      <c r="A40" s="4" t="s">
        <v>72</v>
      </c>
      <c r="B40" s="4" t="s">
        <v>384</v>
      </c>
      <c r="C40" s="16" t="s">
        <v>199</v>
      </c>
      <c r="D40" s="16">
        <v>15</v>
      </c>
      <c r="E40" s="15" t="s">
        <v>162</v>
      </c>
      <c r="F40" s="16">
        <v>1</v>
      </c>
      <c r="G40" s="4" t="s">
        <v>71</v>
      </c>
      <c r="H40" s="4" t="s">
        <v>70</v>
      </c>
      <c r="I40" s="4" t="s">
        <v>335</v>
      </c>
      <c r="J40" s="4" t="e">
        <f>VLOOKUP(G:G,#REF!,2,0)</f>
        <v>#REF!</v>
      </c>
      <c r="K40" s="4" t="s">
        <v>76</v>
      </c>
      <c r="L40" s="4" t="s">
        <v>122</v>
      </c>
      <c r="M40" s="5" t="s">
        <v>203</v>
      </c>
    </row>
    <row r="41" spans="1:13" ht="22.5" x14ac:dyDescent="0.25">
      <c r="A41" s="4" t="s">
        <v>95</v>
      </c>
      <c r="B41" s="4" t="s">
        <v>384</v>
      </c>
      <c r="C41" s="16" t="s">
        <v>199</v>
      </c>
      <c r="D41" s="16">
        <v>14</v>
      </c>
      <c r="E41" s="15" t="s">
        <v>151</v>
      </c>
      <c r="F41" s="16">
        <v>1</v>
      </c>
      <c r="G41" s="4" t="s">
        <v>94</v>
      </c>
      <c r="H41" s="4" t="s">
        <v>42</v>
      </c>
      <c r="I41" s="4" t="s">
        <v>324</v>
      </c>
      <c r="J41" s="4" t="e">
        <f>VLOOKUP(G:G,#REF!,2,0)</f>
        <v>#REF!</v>
      </c>
      <c r="K41" s="4" t="s">
        <v>76</v>
      </c>
      <c r="L41" s="4" t="s">
        <v>122</v>
      </c>
      <c r="M41" s="5" t="s">
        <v>205</v>
      </c>
    </row>
    <row r="42" spans="1:13" ht="22.5" x14ac:dyDescent="0.25">
      <c r="A42" s="11" t="e">
        <v>#N/A</v>
      </c>
      <c r="B42" s="4" t="s">
        <v>384</v>
      </c>
      <c r="C42" s="16" t="s">
        <v>199</v>
      </c>
      <c r="D42" s="16">
        <v>13</v>
      </c>
      <c r="E42" s="15" t="s">
        <v>153</v>
      </c>
      <c r="F42" s="16">
        <v>1</v>
      </c>
      <c r="G42" s="11" t="s">
        <v>340</v>
      </c>
      <c r="H42" s="11" t="s">
        <v>341</v>
      </c>
      <c r="I42" s="11" t="s">
        <v>306</v>
      </c>
      <c r="J42" s="11" t="e">
        <f>VLOOKUP(G:G,#REF!,2,0)</f>
        <v>#REF!</v>
      </c>
      <c r="K42" s="4" t="s">
        <v>76</v>
      </c>
      <c r="L42" s="4" t="s">
        <v>122</v>
      </c>
      <c r="M42" s="12" t="s">
        <v>207</v>
      </c>
    </row>
    <row r="43" spans="1:13" ht="22.5" x14ac:dyDescent="0.25">
      <c r="A43" s="4" t="s">
        <v>44</v>
      </c>
      <c r="B43" s="4" t="s">
        <v>384</v>
      </c>
      <c r="C43" s="16" t="s">
        <v>199</v>
      </c>
      <c r="D43" s="16">
        <v>13</v>
      </c>
      <c r="E43" s="15" t="s">
        <v>153</v>
      </c>
      <c r="F43" s="16">
        <v>1</v>
      </c>
      <c r="G43" s="4" t="s">
        <v>43</v>
      </c>
      <c r="H43" s="4" t="s">
        <v>42</v>
      </c>
      <c r="I43" s="4" t="s">
        <v>342</v>
      </c>
      <c r="J43" s="4" t="e">
        <f>VLOOKUP(G:G,#REF!,2,0)</f>
        <v>#REF!</v>
      </c>
      <c r="K43" s="4" t="s">
        <v>76</v>
      </c>
      <c r="L43" s="4" t="s">
        <v>122</v>
      </c>
      <c r="M43" s="5" t="s">
        <v>209</v>
      </c>
    </row>
    <row r="44" spans="1:13" ht="22.5" x14ac:dyDescent="0.25">
      <c r="A44" s="4" t="s">
        <v>125</v>
      </c>
      <c r="B44" s="4" t="s">
        <v>384</v>
      </c>
      <c r="C44" s="16" t="s">
        <v>199</v>
      </c>
      <c r="D44" s="16">
        <v>13</v>
      </c>
      <c r="E44" s="15" t="s">
        <v>153</v>
      </c>
      <c r="F44" s="16">
        <v>1</v>
      </c>
      <c r="G44" s="4" t="s">
        <v>124</v>
      </c>
      <c r="H44" s="4" t="s">
        <v>18</v>
      </c>
      <c r="I44" s="4" t="s">
        <v>343</v>
      </c>
      <c r="J44" s="4" t="e">
        <f>VLOOKUP(G:G,#REF!,2,0)</f>
        <v>#REF!</v>
      </c>
      <c r="K44" s="4" t="s">
        <v>76</v>
      </c>
      <c r="L44" s="4" t="s">
        <v>122</v>
      </c>
      <c r="M44" s="5" t="s">
        <v>211</v>
      </c>
    </row>
    <row r="45" spans="1:13" ht="21" x14ac:dyDescent="0.25">
      <c r="A45" s="9" t="e">
        <v>#N/A</v>
      </c>
      <c r="B45" s="9"/>
      <c r="C45" s="6"/>
      <c r="D45" s="6"/>
      <c r="E45" s="7" t="s">
        <v>146</v>
      </c>
      <c r="F45" s="8">
        <v>6</v>
      </c>
      <c r="G45" s="9">
        <v>6</v>
      </c>
      <c r="H45" s="9"/>
      <c r="I45" s="9"/>
      <c r="J45" s="9" t="e">
        <f>VLOOKUP(G:G,#REF!,2,0)</f>
        <v>#REF!</v>
      </c>
      <c r="K45" s="9"/>
      <c r="L45" s="9"/>
      <c r="M45" s="10"/>
    </row>
    <row r="46" spans="1:13" ht="22.5" x14ac:dyDescent="0.25">
      <c r="A46" s="4" t="s">
        <v>90</v>
      </c>
      <c r="B46" s="4" t="s">
        <v>386</v>
      </c>
      <c r="C46" s="16" t="s">
        <v>212</v>
      </c>
      <c r="D46" s="47">
        <v>16</v>
      </c>
      <c r="E46" s="48" t="s">
        <v>148</v>
      </c>
      <c r="F46" s="47">
        <v>1</v>
      </c>
      <c r="G46" s="4" t="s">
        <v>89</v>
      </c>
      <c r="H46" s="4" t="s">
        <v>88</v>
      </c>
      <c r="I46" s="4" t="s">
        <v>344</v>
      </c>
      <c r="J46" s="4" t="e">
        <f>VLOOKUP(G:G,#REF!,2,0)</f>
        <v>#REF!</v>
      </c>
      <c r="K46" s="4" t="s">
        <v>89</v>
      </c>
      <c r="L46" s="4" t="s">
        <v>122</v>
      </c>
      <c r="M46" s="5" t="s">
        <v>214</v>
      </c>
    </row>
    <row r="47" spans="1:13" ht="33.75" x14ac:dyDescent="0.25">
      <c r="A47" s="4" t="s">
        <v>8</v>
      </c>
      <c r="B47" s="4" t="s">
        <v>386</v>
      </c>
      <c r="C47" s="16" t="s">
        <v>212</v>
      </c>
      <c r="D47" s="16">
        <v>15</v>
      </c>
      <c r="E47" s="15" t="s">
        <v>162</v>
      </c>
      <c r="F47" s="16">
        <v>1</v>
      </c>
      <c r="G47" s="4" t="s">
        <v>7</v>
      </c>
      <c r="H47" s="4" t="s">
        <v>6</v>
      </c>
      <c r="I47" s="4" t="s">
        <v>326</v>
      </c>
      <c r="J47" s="4" t="e">
        <f>VLOOKUP(G:G,#REF!,2,0)</f>
        <v>#REF!</v>
      </c>
      <c r="K47" s="4" t="s">
        <v>89</v>
      </c>
      <c r="L47" s="4" t="s">
        <v>122</v>
      </c>
      <c r="M47" s="5" t="s">
        <v>216</v>
      </c>
    </row>
    <row r="48" spans="1:13" ht="22.5" x14ac:dyDescent="0.25">
      <c r="A48" s="4" t="s">
        <v>26</v>
      </c>
      <c r="B48" s="4" t="s">
        <v>386</v>
      </c>
      <c r="C48" s="16" t="s">
        <v>212</v>
      </c>
      <c r="D48" s="16">
        <v>14</v>
      </c>
      <c r="E48" s="15" t="s">
        <v>151</v>
      </c>
      <c r="F48" s="16">
        <v>1</v>
      </c>
      <c r="G48" s="4" t="s">
        <v>25</v>
      </c>
      <c r="H48" s="4" t="s">
        <v>24</v>
      </c>
      <c r="I48" s="4" t="s">
        <v>345</v>
      </c>
      <c r="J48" s="4" t="e">
        <f>VLOOKUP(G:G,#REF!,2,0)</f>
        <v>#REF!</v>
      </c>
      <c r="K48" s="4" t="s">
        <v>89</v>
      </c>
      <c r="L48" s="4" t="s">
        <v>122</v>
      </c>
      <c r="M48" s="5" t="s">
        <v>218</v>
      </c>
    </row>
    <row r="49" spans="1:13" ht="22.5" x14ac:dyDescent="0.25">
      <c r="A49" s="4" t="s">
        <v>134</v>
      </c>
      <c r="B49" s="4" t="s">
        <v>386</v>
      </c>
      <c r="C49" s="16" t="s">
        <v>212</v>
      </c>
      <c r="D49" s="16">
        <v>14</v>
      </c>
      <c r="E49" s="15" t="s">
        <v>151</v>
      </c>
      <c r="F49" s="16">
        <v>1</v>
      </c>
      <c r="G49" s="4" t="s">
        <v>133</v>
      </c>
      <c r="H49" s="4" t="s">
        <v>132</v>
      </c>
      <c r="I49" s="4" t="s">
        <v>346</v>
      </c>
      <c r="J49" s="4" t="e">
        <f>VLOOKUP(G:G,#REF!,2,0)</f>
        <v>#REF!</v>
      </c>
      <c r="K49" s="4" t="s">
        <v>89</v>
      </c>
      <c r="L49" s="4" t="s">
        <v>122</v>
      </c>
      <c r="M49" s="5" t="s">
        <v>220</v>
      </c>
    </row>
    <row r="50" spans="1:13" ht="22.5" x14ac:dyDescent="0.25">
      <c r="A50" s="11" t="e">
        <v>#N/A</v>
      </c>
      <c r="B50" s="4" t="s">
        <v>386</v>
      </c>
      <c r="C50" s="16" t="s">
        <v>212</v>
      </c>
      <c r="D50" s="16">
        <v>13</v>
      </c>
      <c r="E50" s="15" t="s">
        <v>153</v>
      </c>
      <c r="F50" s="16">
        <v>1</v>
      </c>
      <c r="G50" s="11" t="s">
        <v>347</v>
      </c>
      <c r="H50" s="11" t="s">
        <v>348</v>
      </c>
      <c r="I50" s="11" t="s">
        <v>349</v>
      </c>
      <c r="J50" s="11" t="e">
        <f>VLOOKUP(G:G,#REF!,2,0)</f>
        <v>#REF!</v>
      </c>
      <c r="K50" s="4" t="s">
        <v>89</v>
      </c>
      <c r="L50" s="4" t="s">
        <v>122</v>
      </c>
      <c r="M50" s="18" t="s">
        <v>222</v>
      </c>
    </row>
    <row r="51" spans="1:13" ht="22.5" x14ac:dyDescent="0.25">
      <c r="A51" s="20" t="e">
        <v>#N/A</v>
      </c>
      <c r="B51" s="4" t="s">
        <v>386</v>
      </c>
      <c r="C51" s="16" t="s">
        <v>212</v>
      </c>
      <c r="D51" s="16">
        <v>12</v>
      </c>
      <c r="E51" s="15" t="s">
        <v>153</v>
      </c>
      <c r="F51" s="16">
        <v>1</v>
      </c>
      <c r="G51" s="20" t="s">
        <v>350</v>
      </c>
      <c r="H51" s="20" t="s">
        <v>59</v>
      </c>
      <c r="I51" s="20" t="s">
        <v>349</v>
      </c>
      <c r="J51" s="20" t="e">
        <f>VLOOKUP(G:G,#REF!,2,0)</f>
        <v>#REF!</v>
      </c>
      <c r="K51" s="4" t="s">
        <v>89</v>
      </c>
      <c r="L51" s="4" t="s">
        <v>122</v>
      </c>
      <c r="M51" s="12" t="s">
        <v>224</v>
      </c>
    </row>
    <row r="52" spans="1:13" ht="21" x14ac:dyDescent="0.25">
      <c r="A52" s="9" t="e">
        <v>#N/A</v>
      </c>
      <c r="B52" s="9"/>
      <c r="C52" s="8"/>
      <c r="D52" s="6"/>
      <c r="E52" s="7" t="s">
        <v>146</v>
      </c>
      <c r="F52" s="8">
        <v>6</v>
      </c>
      <c r="G52" s="9">
        <v>6</v>
      </c>
      <c r="H52" s="9"/>
      <c r="I52" s="9"/>
      <c r="J52" s="9" t="e">
        <f>VLOOKUP(G:G,#REF!,2,0)</f>
        <v>#REF!</v>
      </c>
      <c r="K52" s="9"/>
      <c r="L52" s="9"/>
      <c r="M52" s="10"/>
    </row>
    <row r="53" spans="1:13" ht="22.5" x14ac:dyDescent="0.25">
      <c r="A53" s="4" t="s">
        <v>74</v>
      </c>
      <c r="B53" s="4" t="s">
        <v>387</v>
      </c>
      <c r="C53" s="16" t="s">
        <v>225</v>
      </c>
      <c r="D53" s="45">
        <v>16</v>
      </c>
      <c r="E53" s="15" t="s">
        <v>148</v>
      </c>
      <c r="F53" s="16">
        <v>1</v>
      </c>
      <c r="G53" s="4" t="s">
        <v>351</v>
      </c>
      <c r="H53" s="4" t="s">
        <v>73</v>
      </c>
      <c r="I53" s="4" t="s">
        <v>352</v>
      </c>
      <c r="J53" s="4" t="e">
        <f>VLOOKUP(G:G,#REF!,2,0)</f>
        <v>#REF!</v>
      </c>
      <c r="K53" s="4" t="s">
        <v>351</v>
      </c>
      <c r="L53" s="4" t="s">
        <v>46</v>
      </c>
      <c r="M53" s="5" t="s">
        <v>227</v>
      </c>
    </row>
    <row r="54" spans="1:13" ht="33.75" x14ac:dyDescent="0.25">
      <c r="A54" s="4" t="s">
        <v>69</v>
      </c>
      <c r="B54" s="4" t="s">
        <v>387</v>
      </c>
      <c r="C54" s="16" t="s">
        <v>225</v>
      </c>
      <c r="D54" s="16">
        <v>15</v>
      </c>
      <c r="E54" s="15" t="s">
        <v>162</v>
      </c>
      <c r="F54" s="16">
        <v>1</v>
      </c>
      <c r="G54" s="4" t="s">
        <v>68</v>
      </c>
      <c r="H54" s="4" t="s">
        <v>21</v>
      </c>
      <c r="I54" s="4" t="s">
        <v>324</v>
      </c>
      <c r="J54" s="4" t="e">
        <f>VLOOKUP(G:G,#REF!,2,0)</f>
        <v>#REF!</v>
      </c>
      <c r="K54" s="4" t="s">
        <v>351</v>
      </c>
      <c r="L54" s="4" t="s">
        <v>46</v>
      </c>
      <c r="M54" s="5" t="s">
        <v>229</v>
      </c>
    </row>
    <row r="55" spans="1:13" ht="22.5" x14ac:dyDescent="0.25">
      <c r="A55" s="4" t="s">
        <v>107</v>
      </c>
      <c r="B55" s="4" t="s">
        <v>387</v>
      </c>
      <c r="C55" s="16" t="s">
        <v>225</v>
      </c>
      <c r="D55" s="16">
        <v>14</v>
      </c>
      <c r="E55" s="15" t="s">
        <v>151</v>
      </c>
      <c r="F55" s="16">
        <v>1</v>
      </c>
      <c r="G55" s="4" t="s">
        <v>106</v>
      </c>
      <c r="H55" s="4" t="s">
        <v>105</v>
      </c>
      <c r="I55" s="4" t="s">
        <v>352</v>
      </c>
      <c r="J55" s="4" t="e">
        <f>VLOOKUP(G:G,#REF!,2,0)</f>
        <v>#REF!</v>
      </c>
      <c r="K55" s="4" t="s">
        <v>351</v>
      </c>
      <c r="L55" s="4" t="s">
        <v>46</v>
      </c>
      <c r="M55" s="5" t="s">
        <v>231</v>
      </c>
    </row>
    <row r="56" spans="1:13" ht="22.5" x14ac:dyDescent="0.25">
      <c r="A56" s="4" t="s">
        <v>61</v>
      </c>
      <c r="B56" s="4" t="s">
        <v>387</v>
      </c>
      <c r="C56" s="16" t="s">
        <v>225</v>
      </c>
      <c r="D56" s="16">
        <v>13</v>
      </c>
      <c r="E56" s="15" t="s">
        <v>153</v>
      </c>
      <c r="F56" s="16">
        <v>1</v>
      </c>
      <c r="G56" s="4" t="s">
        <v>60</v>
      </c>
      <c r="H56" s="4" t="s">
        <v>59</v>
      </c>
      <c r="I56" s="4" t="s">
        <v>353</v>
      </c>
      <c r="J56" s="4" t="e">
        <f>VLOOKUP(G:G,#REF!,2,0)</f>
        <v>#REF!</v>
      </c>
      <c r="K56" s="4" t="s">
        <v>351</v>
      </c>
      <c r="L56" s="4" t="s">
        <v>46</v>
      </c>
      <c r="M56" s="5" t="s">
        <v>233</v>
      </c>
    </row>
    <row r="57" spans="1:13" ht="22.5" x14ac:dyDescent="0.25">
      <c r="A57" s="11" t="e">
        <v>#N/A</v>
      </c>
      <c r="B57" s="4" t="s">
        <v>387</v>
      </c>
      <c r="C57" s="16" t="s">
        <v>225</v>
      </c>
      <c r="D57" s="16">
        <v>13</v>
      </c>
      <c r="E57" s="46" t="s">
        <v>153</v>
      </c>
      <c r="F57" s="45">
        <v>1</v>
      </c>
      <c r="G57" s="11" t="s">
        <v>354</v>
      </c>
      <c r="H57" s="11" t="s">
        <v>105</v>
      </c>
      <c r="I57" s="11" t="s">
        <v>355</v>
      </c>
      <c r="J57" s="11" t="e">
        <f>VLOOKUP(G:G,#REF!,2,0)</f>
        <v>#REF!</v>
      </c>
      <c r="K57" s="4" t="s">
        <v>351</v>
      </c>
      <c r="L57" s="4" t="s">
        <v>46</v>
      </c>
      <c r="M57" s="12" t="s">
        <v>235</v>
      </c>
    </row>
    <row r="58" spans="1:13" x14ac:dyDescent="0.25">
      <c r="A58" s="4" t="s">
        <v>104</v>
      </c>
      <c r="B58" s="4"/>
      <c r="C58" s="16"/>
      <c r="D58" s="16">
        <v>11</v>
      </c>
      <c r="E58" s="15" t="s">
        <v>236</v>
      </c>
      <c r="F58" s="16">
        <v>1</v>
      </c>
      <c r="G58" s="4" t="s">
        <v>103</v>
      </c>
      <c r="H58" s="4" t="s">
        <v>102</v>
      </c>
      <c r="I58" s="4" t="s">
        <v>356</v>
      </c>
      <c r="J58" s="4" t="e">
        <f>VLOOKUP(G:G,#REF!,2,0)</f>
        <v>#REF!</v>
      </c>
      <c r="K58" s="4" t="s">
        <v>351</v>
      </c>
      <c r="L58" s="4" t="s">
        <v>46</v>
      </c>
      <c r="M58" s="5" t="s">
        <v>238</v>
      </c>
    </row>
    <row r="59" spans="1:13" ht="21" x14ac:dyDescent="0.25">
      <c r="A59" s="9" t="e">
        <v>#N/A</v>
      </c>
      <c r="B59" s="9"/>
      <c r="C59" s="9"/>
      <c r="D59" s="6"/>
      <c r="E59" s="7" t="s">
        <v>146</v>
      </c>
      <c r="F59" s="8">
        <v>6</v>
      </c>
      <c r="G59" s="9">
        <v>6</v>
      </c>
      <c r="H59" s="9"/>
      <c r="I59" s="9"/>
      <c r="J59" s="9" t="e">
        <f>VLOOKUP(G:G,#REF!,2,0)</f>
        <v>#REF!</v>
      </c>
      <c r="K59" s="9"/>
      <c r="L59" s="9"/>
      <c r="M59" s="10"/>
    </row>
    <row r="60" spans="1:13" ht="22.5" x14ac:dyDescent="0.25">
      <c r="A60" s="4" t="s">
        <v>110</v>
      </c>
      <c r="B60" s="4" t="s">
        <v>388</v>
      </c>
      <c r="C60" s="16" t="s">
        <v>239</v>
      </c>
      <c r="D60" s="47">
        <v>16</v>
      </c>
      <c r="E60" s="15" t="s">
        <v>148</v>
      </c>
      <c r="F60" s="16">
        <v>1</v>
      </c>
      <c r="G60" s="4" t="s">
        <v>109</v>
      </c>
      <c r="H60" s="4" t="s">
        <v>108</v>
      </c>
      <c r="I60" s="4" t="s">
        <v>357</v>
      </c>
      <c r="J60" s="4" t="e">
        <f>VLOOKUP(G:G,#REF!,2,0)</f>
        <v>#REF!</v>
      </c>
      <c r="K60" s="4" t="s">
        <v>109</v>
      </c>
      <c r="L60" s="4" t="s">
        <v>122</v>
      </c>
      <c r="M60" s="5" t="s">
        <v>241</v>
      </c>
    </row>
    <row r="61" spans="1:13" ht="33.75" x14ac:dyDescent="0.25">
      <c r="A61" s="4" t="s">
        <v>100</v>
      </c>
      <c r="B61" s="4" t="s">
        <v>388</v>
      </c>
      <c r="C61" s="16" t="s">
        <v>239</v>
      </c>
      <c r="D61" s="16">
        <v>15</v>
      </c>
      <c r="E61" s="15" t="s">
        <v>162</v>
      </c>
      <c r="F61" s="16">
        <v>1</v>
      </c>
      <c r="G61" s="4" t="s">
        <v>99</v>
      </c>
      <c r="H61" s="4" t="s">
        <v>98</v>
      </c>
      <c r="I61" s="4" t="s">
        <v>358</v>
      </c>
      <c r="J61" s="4" t="e">
        <f>VLOOKUP(G:G,#REF!,2,0)</f>
        <v>#REF!</v>
      </c>
      <c r="K61" s="4" t="s">
        <v>109</v>
      </c>
      <c r="L61" s="4" t="s">
        <v>122</v>
      </c>
      <c r="M61" s="5" t="s">
        <v>243</v>
      </c>
    </row>
    <row r="62" spans="1:13" ht="22.5" x14ac:dyDescent="0.25">
      <c r="A62" s="4" t="s">
        <v>97</v>
      </c>
      <c r="B62" s="4" t="s">
        <v>388</v>
      </c>
      <c r="C62" s="16" t="s">
        <v>239</v>
      </c>
      <c r="D62" s="16">
        <v>14</v>
      </c>
      <c r="E62" s="15" t="s">
        <v>151</v>
      </c>
      <c r="F62" s="16">
        <v>1</v>
      </c>
      <c r="G62" s="4" t="s">
        <v>96</v>
      </c>
      <c r="H62" s="4" t="s">
        <v>81</v>
      </c>
      <c r="I62" s="4" t="s">
        <v>326</v>
      </c>
      <c r="J62" s="4" t="e">
        <f>VLOOKUP(G:G,#REF!,2,0)</f>
        <v>#REF!</v>
      </c>
      <c r="K62" s="4" t="s">
        <v>109</v>
      </c>
      <c r="L62" s="4" t="s">
        <v>122</v>
      </c>
      <c r="M62" s="5" t="s">
        <v>245</v>
      </c>
    </row>
    <row r="63" spans="1:13" ht="22.5" x14ac:dyDescent="0.25">
      <c r="A63" s="4" t="s">
        <v>32</v>
      </c>
      <c r="B63" s="4" t="s">
        <v>388</v>
      </c>
      <c r="C63" s="16" t="s">
        <v>239</v>
      </c>
      <c r="D63" s="16">
        <v>14</v>
      </c>
      <c r="E63" s="15" t="s">
        <v>151</v>
      </c>
      <c r="F63" s="16">
        <v>1</v>
      </c>
      <c r="G63" s="4" t="s">
        <v>31</v>
      </c>
      <c r="H63" s="4" t="s">
        <v>101</v>
      </c>
      <c r="I63" s="4" t="s">
        <v>359</v>
      </c>
      <c r="J63" s="4" t="e">
        <f>VLOOKUP(G:G,#REF!,2,0)</f>
        <v>#REF!</v>
      </c>
      <c r="K63" s="4" t="s">
        <v>109</v>
      </c>
      <c r="L63" s="4" t="s">
        <v>122</v>
      </c>
      <c r="M63" s="5" t="s">
        <v>241</v>
      </c>
    </row>
    <row r="64" spans="1:13" ht="22.5" x14ac:dyDescent="0.25">
      <c r="A64" s="4" t="s">
        <v>20</v>
      </c>
      <c r="B64" s="4" t="s">
        <v>388</v>
      </c>
      <c r="C64" s="16" t="s">
        <v>239</v>
      </c>
      <c r="D64" s="16">
        <v>13</v>
      </c>
      <c r="E64" s="48" t="s">
        <v>153</v>
      </c>
      <c r="F64" s="47">
        <v>1</v>
      </c>
      <c r="G64" s="4" t="s">
        <v>19</v>
      </c>
      <c r="H64" s="4" t="s">
        <v>18</v>
      </c>
      <c r="I64" s="4" t="s">
        <v>302</v>
      </c>
      <c r="J64" s="4" t="e">
        <f>VLOOKUP(G:G,#REF!,2,0)</f>
        <v>#REF!</v>
      </c>
      <c r="K64" s="4" t="s">
        <v>109</v>
      </c>
      <c r="L64" s="4" t="s">
        <v>122</v>
      </c>
      <c r="M64" s="5" t="s">
        <v>248</v>
      </c>
    </row>
    <row r="65" spans="1:13" ht="22.5" x14ac:dyDescent="0.25">
      <c r="A65" s="11" t="e">
        <v>#N/A</v>
      </c>
      <c r="B65" s="4" t="s">
        <v>388</v>
      </c>
      <c r="C65" s="16" t="s">
        <v>239</v>
      </c>
      <c r="D65" s="16">
        <v>14</v>
      </c>
      <c r="E65" s="46" t="s">
        <v>153</v>
      </c>
      <c r="F65" s="45">
        <v>1</v>
      </c>
      <c r="G65" s="11" t="s">
        <v>360</v>
      </c>
      <c r="H65" s="11" t="s">
        <v>78</v>
      </c>
      <c r="I65" s="11" t="s">
        <v>326</v>
      </c>
      <c r="J65" s="11" t="e">
        <f>VLOOKUP(G:G,#REF!,2,0)</f>
        <v>#REF!</v>
      </c>
      <c r="K65" s="4" t="s">
        <v>109</v>
      </c>
      <c r="L65" s="4" t="s">
        <v>122</v>
      </c>
      <c r="M65" s="12" t="s">
        <v>250</v>
      </c>
    </row>
    <row r="66" spans="1:13" ht="22.5" x14ac:dyDescent="0.25">
      <c r="A66" s="11" t="e">
        <v>#N/A</v>
      </c>
      <c r="B66" s="4" t="s">
        <v>388</v>
      </c>
      <c r="C66" s="16" t="s">
        <v>239</v>
      </c>
      <c r="D66" s="16">
        <v>13</v>
      </c>
      <c r="E66" s="48" t="s">
        <v>153</v>
      </c>
      <c r="F66" s="47">
        <v>1</v>
      </c>
      <c r="G66" s="11"/>
      <c r="H66" s="11"/>
      <c r="I66" s="11"/>
      <c r="J66" s="11" t="e">
        <f>VLOOKUP(G:G,#REF!,2,0)</f>
        <v>#REF!</v>
      </c>
      <c r="K66" s="4" t="s">
        <v>109</v>
      </c>
      <c r="L66" s="4" t="s">
        <v>122</v>
      </c>
      <c r="M66" s="12"/>
    </row>
    <row r="67" spans="1:13" ht="21" x14ac:dyDescent="0.25">
      <c r="A67" s="9" t="e">
        <v>#N/A</v>
      </c>
      <c r="B67" s="9"/>
      <c r="C67" s="9"/>
      <c r="D67" s="6"/>
      <c r="E67" s="7" t="s">
        <v>146</v>
      </c>
      <c r="F67" s="8">
        <v>7</v>
      </c>
      <c r="G67" s="9">
        <v>6</v>
      </c>
      <c r="H67" s="9"/>
      <c r="I67" s="9"/>
      <c r="J67" s="9" t="e">
        <f>VLOOKUP(G:G,#REF!,2,0)</f>
        <v>#REF!</v>
      </c>
      <c r="K67" s="9"/>
      <c r="L67" s="9"/>
      <c r="M67" s="10"/>
    </row>
    <row r="68" spans="1:13" ht="22.5" x14ac:dyDescent="0.25">
      <c r="A68" s="4" t="s">
        <v>85</v>
      </c>
      <c r="B68" s="4" t="s">
        <v>389</v>
      </c>
      <c r="C68" s="16" t="s">
        <v>251</v>
      </c>
      <c r="D68" s="47">
        <v>16</v>
      </c>
      <c r="E68" s="48" t="s">
        <v>148</v>
      </c>
      <c r="F68" s="47">
        <v>1</v>
      </c>
      <c r="G68" s="4" t="s">
        <v>84</v>
      </c>
      <c r="H68" s="4" t="s">
        <v>78</v>
      </c>
      <c r="I68" s="4" t="s">
        <v>352</v>
      </c>
      <c r="J68" s="4" t="e">
        <f>VLOOKUP(G:G,#REF!,2,0)</f>
        <v>#REF!</v>
      </c>
      <c r="K68" s="4" t="s">
        <v>84</v>
      </c>
      <c r="L68" s="4" t="s">
        <v>37</v>
      </c>
      <c r="M68" s="5" t="s">
        <v>253</v>
      </c>
    </row>
    <row r="69" spans="1:13" ht="33.75" x14ac:dyDescent="0.25">
      <c r="A69" s="4" t="s">
        <v>93</v>
      </c>
      <c r="B69" s="4" t="s">
        <v>389</v>
      </c>
      <c r="C69" s="16" t="s">
        <v>251</v>
      </c>
      <c r="D69" s="45">
        <v>15</v>
      </c>
      <c r="E69" s="15" t="s">
        <v>162</v>
      </c>
      <c r="F69" s="16">
        <v>1</v>
      </c>
      <c r="G69" s="4" t="s">
        <v>92</v>
      </c>
      <c r="H69" s="4" t="s">
        <v>91</v>
      </c>
      <c r="I69" s="4" t="s">
        <v>326</v>
      </c>
      <c r="J69" s="4" t="e">
        <f>VLOOKUP(G:G,#REF!,2,0)</f>
        <v>#REF!</v>
      </c>
      <c r="K69" s="4" t="s">
        <v>84</v>
      </c>
      <c r="L69" s="4" t="s">
        <v>37</v>
      </c>
      <c r="M69" s="5" t="s">
        <v>255</v>
      </c>
    </row>
    <row r="70" spans="1:13" ht="22.5" x14ac:dyDescent="0.25">
      <c r="A70" s="21" t="s">
        <v>53</v>
      </c>
      <c r="B70" s="4" t="s">
        <v>389</v>
      </c>
      <c r="C70" s="16" t="s">
        <v>251</v>
      </c>
      <c r="D70" s="47">
        <v>14</v>
      </c>
      <c r="E70" s="15" t="s">
        <v>151</v>
      </c>
      <c r="F70" s="16">
        <v>1</v>
      </c>
      <c r="G70" s="21" t="s">
        <v>52</v>
      </c>
      <c r="H70" s="21" t="s">
        <v>51</v>
      </c>
      <c r="I70" s="21" t="s">
        <v>361</v>
      </c>
      <c r="J70" s="21" t="e">
        <f>VLOOKUP(G:G,#REF!,2,0)</f>
        <v>#REF!</v>
      </c>
      <c r="K70" s="4" t="s">
        <v>84</v>
      </c>
      <c r="L70" s="4" t="s">
        <v>37</v>
      </c>
      <c r="M70" s="5" t="s">
        <v>257</v>
      </c>
    </row>
    <row r="71" spans="1:13" ht="22.5" x14ac:dyDescent="0.25">
      <c r="A71" s="4" t="s">
        <v>83</v>
      </c>
      <c r="B71" s="4" t="s">
        <v>389</v>
      </c>
      <c r="C71" s="16" t="s">
        <v>251</v>
      </c>
      <c r="D71" s="45">
        <v>14</v>
      </c>
      <c r="E71" s="15" t="s">
        <v>151</v>
      </c>
      <c r="F71" s="16">
        <v>1</v>
      </c>
      <c r="G71" s="4" t="s">
        <v>82</v>
      </c>
      <c r="H71" s="4" t="s">
        <v>81</v>
      </c>
      <c r="I71" s="4" t="s">
        <v>352</v>
      </c>
      <c r="J71" s="4" t="e">
        <f>VLOOKUP(G:G,#REF!,2,0)</f>
        <v>#REF!</v>
      </c>
      <c r="K71" s="4" t="s">
        <v>84</v>
      </c>
      <c r="L71" s="4" t="s">
        <v>37</v>
      </c>
      <c r="M71" s="5" t="s">
        <v>259</v>
      </c>
    </row>
    <row r="72" spans="1:13" ht="22.5" x14ac:dyDescent="0.25">
      <c r="A72" s="21" t="s">
        <v>56</v>
      </c>
      <c r="B72" s="4" t="s">
        <v>389</v>
      </c>
      <c r="C72" s="16" t="s">
        <v>251</v>
      </c>
      <c r="D72" s="47">
        <v>13</v>
      </c>
      <c r="E72" s="15" t="s">
        <v>151</v>
      </c>
      <c r="F72" s="16">
        <v>1</v>
      </c>
      <c r="G72" s="21" t="s">
        <v>55</v>
      </c>
      <c r="H72" s="21" t="s">
        <v>54</v>
      </c>
      <c r="I72" s="21" t="s">
        <v>362</v>
      </c>
      <c r="J72" s="21" t="e">
        <f>VLOOKUP(G:G,#REF!,2,0)</f>
        <v>#REF!</v>
      </c>
      <c r="K72" s="4" t="s">
        <v>84</v>
      </c>
      <c r="L72" s="4" t="s">
        <v>37</v>
      </c>
      <c r="M72" s="5" t="s">
        <v>261</v>
      </c>
    </row>
    <row r="73" spans="1:13" ht="22.5" x14ac:dyDescent="0.25">
      <c r="A73" s="11" t="e">
        <v>#N/A</v>
      </c>
      <c r="B73" s="4" t="s">
        <v>389</v>
      </c>
      <c r="C73" s="16" t="s">
        <v>251</v>
      </c>
      <c r="D73" s="45">
        <v>12</v>
      </c>
      <c r="E73" s="46" t="s">
        <v>236</v>
      </c>
      <c r="F73" s="45">
        <v>1</v>
      </c>
      <c r="G73" s="11" t="s">
        <v>363</v>
      </c>
      <c r="H73" s="11" t="s">
        <v>30</v>
      </c>
      <c r="I73" s="11" t="s">
        <v>324</v>
      </c>
      <c r="J73" s="11" t="e">
        <f>VLOOKUP(G:G,#REF!,2,0)</f>
        <v>#REF!</v>
      </c>
      <c r="K73" s="4" t="s">
        <v>84</v>
      </c>
      <c r="L73" s="4" t="s">
        <v>37</v>
      </c>
      <c r="M73" s="12" t="s">
        <v>263</v>
      </c>
    </row>
    <row r="74" spans="1:13" ht="21" x14ac:dyDescent="0.25">
      <c r="A74" s="9" t="e">
        <v>#N/A</v>
      </c>
      <c r="B74" s="9"/>
      <c r="C74" s="9"/>
      <c r="D74" s="6"/>
      <c r="E74" s="7" t="s">
        <v>146</v>
      </c>
      <c r="F74" s="8">
        <v>6</v>
      </c>
      <c r="G74" s="9">
        <v>6</v>
      </c>
      <c r="H74" s="9"/>
      <c r="I74" s="9"/>
      <c r="J74" s="9" t="e">
        <f>VLOOKUP(G:G,#REF!,2,0)</f>
        <v>#REF!</v>
      </c>
      <c r="K74" s="9"/>
      <c r="L74" s="9"/>
      <c r="M74" s="10"/>
    </row>
    <row r="75" spans="1:13" ht="33.75" x14ac:dyDescent="0.25">
      <c r="A75" s="4" t="s">
        <v>112</v>
      </c>
      <c r="B75" s="4" t="s">
        <v>390</v>
      </c>
      <c r="C75" s="16" t="s">
        <v>264</v>
      </c>
      <c r="D75" s="45">
        <v>16</v>
      </c>
      <c r="E75" s="15" t="s">
        <v>148</v>
      </c>
      <c r="F75" s="16">
        <v>1</v>
      </c>
      <c r="G75" s="4" t="s">
        <v>111</v>
      </c>
      <c r="H75" s="4" t="s">
        <v>42</v>
      </c>
      <c r="I75" s="4" t="s">
        <v>337</v>
      </c>
      <c r="J75" s="4" t="e">
        <f>VLOOKUP(G:G,#REF!,2,0)</f>
        <v>#REF!</v>
      </c>
      <c r="K75" s="4" t="s">
        <v>111</v>
      </c>
      <c r="L75" s="4" t="s">
        <v>46</v>
      </c>
      <c r="M75" s="5" t="s">
        <v>266</v>
      </c>
    </row>
    <row r="76" spans="1:13" ht="33.75" x14ac:dyDescent="0.25">
      <c r="A76" s="11" t="e">
        <v>#N/A</v>
      </c>
      <c r="B76" s="4" t="s">
        <v>390</v>
      </c>
      <c r="C76" s="16" t="s">
        <v>264</v>
      </c>
      <c r="D76" s="47">
        <v>14</v>
      </c>
      <c r="E76" s="15" t="s">
        <v>162</v>
      </c>
      <c r="F76" s="16">
        <v>1</v>
      </c>
      <c r="G76" s="11"/>
      <c r="H76" s="11"/>
      <c r="I76" s="11"/>
      <c r="J76" s="11" t="e">
        <f>VLOOKUP(G:G,#REF!,2,0)</f>
        <v>#REF!</v>
      </c>
      <c r="K76" s="4" t="s">
        <v>111</v>
      </c>
      <c r="L76" s="4" t="s">
        <v>46</v>
      </c>
      <c r="M76" s="18"/>
    </row>
    <row r="77" spans="1:13" ht="33.75" x14ac:dyDescent="0.25">
      <c r="A77" s="4">
        <v>81</v>
      </c>
      <c r="B77" s="4" t="s">
        <v>390</v>
      </c>
      <c r="C77" s="16" t="s">
        <v>264</v>
      </c>
      <c r="D77" s="45">
        <v>14</v>
      </c>
      <c r="E77" s="15" t="s">
        <v>151</v>
      </c>
      <c r="F77" s="16">
        <v>1</v>
      </c>
      <c r="G77" s="4" t="s">
        <v>364</v>
      </c>
      <c r="H77" s="4" t="s">
        <v>5</v>
      </c>
      <c r="I77" s="4" t="s">
        <v>365</v>
      </c>
      <c r="J77" s="4" t="e">
        <f>VLOOKUP(G:G,#REF!,2,0)</f>
        <v>#REF!</v>
      </c>
      <c r="K77" s="4" t="s">
        <v>111</v>
      </c>
      <c r="L77" s="4" t="s">
        <v>46</v>
      </c>
      <c r="M77" s="5" t="s">
        <v>268</v>
      </c>
    </row>
    <row r="78" spans="1:13" ht="33.75" x14ac:dyDescent="0.25">
      <c r="A78" s="4" t="e">
        <v>#N/A</v>
      </c>
      <c r="B78" s="4" t="s">
        <v>390</v>
      </c>
      <c r="C78" s="16" t="s">
        <v>264</v>
      </c>
      <c r="D78" s="47">
        <v>14</v>
      </c>
      <c r="E78" s="15" t="s">
        <v>151</v>
      </c>
      <c r="F78" s="16">
        <v>1</v>
      </c>
      <c r="G78" s="4" t="s">
        <v>366</v>
      </c>
      <c r="H78" s="4" t="s">
        <v>367</v>
      </c>
      <c r="I78" s="4" t="s">
        <v>368</v>
      </c>
      <c r="J78" s="4" t="e">
        <f>VLOOKUP(G:G,#REF!,2,0)</f>
        <v>#REF!</v>
      </c>
      <c r="K78" s="4" t="s">
        <v>111</v>
      </c>
      <c r="L78" s="4" t="s">
        <v>46</v>
      </c>
      <c r="M78" s="5" t="s">
        <v>270</v>
      </c>
    </row>
    <row r="79" spans="1:13" ht="33.75" x14ac:dyDescent="0.25">
      <c r="A79" s="4">
        <v>379</v>
      </c>
      <c r="B79" s="4" t="s">
        <v>390</v>
      </c>
      <c r="C79" s="16" t="s">
        <v>264</v>
      </c>
      <c r="D79" s="45">
        <v>14</v>
      </c>
      <c r="E79" s="15" t="s">
        <v>151</v>
      </c>
      <c r="F79" s="16">
        <v>1</v>
      </c>
      <c r="G79" s="4" t="s">
        <v>369</v>
      </c>
      <c r="H79" s="4" t="s">
        <v>18</v>
      </c>
      <c r="I79" s="4" t="s">
        <v>342</v>
      </c>
      <c r="J79" s="4" t="e">
        <f>VLOOKUP(G:G,#REF!,2,0)</f>
        <v>#REF!</v>
      </c>
      <c r="K79" s="4" t="s">
        <v>111</v>
      </c>
      <c r="L79" s="4" t="s">
        <v>46</v>
      </c>
      <c r="M79" s="5" t="s">
        <v>272</v>
      </c>
    </row>
    <row r="80" spans="1:13" ht="33.75" x14ac:dyDescent="0.25">
      <c r="A80" s="4" t="e">
        <v>#N/A</v>
      </c>
      <c r="B80" s="4" t="s">
        <v>390</v>
      </c>
      <c r="C80" s="16" t="s">
        <v>264</v>
      </c>
      <c r="D80" s="47">
        <v>14</v>
      </c>
      <c r="E80" s="15" t="s">
        <v>151</v>
      </c>
      <c r="F80" s="16">
        <v>1</v>
      </c>
      <c r="G80" s="4"/>
      <c r="H80" s="4"/>
      <c r="I80" s="4"/>
      <c r="J80" s="4" t="e">
        <f>VLOOKUP(G:G,#REF!,2,0)</f>
        <v>#REF!</v>
      </c>
      <c r="K80" s="4" t="s">
        <v>111</v>
      </c>
      <c r="L80" s="4" t="s">
        <v>46</v>
      </c>
      <c r="M80" s="5"/>
    </row>
    <row r="81" spans="1:13" ht="33.75" x14ac:dyDescent="0.25">
      <c r="A81" s="4" t="s">
        <v>35</v>
      </c>
      <c r="B81" s="4" t="s">
        <v>390</v>
      </c>
      <c r="C81" s="16" t="s">
        <v>264</v>
      </c>
      <c r="D81" s="45">
        <v>13</v>
      </c>
      <c r="E81" s="15" t="s">
        <v>153</v>
      </c>
      <c r="F81" s="16">
        <v>1</v>
      </c>
      <c r="G81" s="4" t="s">
        <v>34</v>
      </c>
      <c r="H81" s="4" t="s">
        <v>33</v>
      </c>
      <c r="I81" s="4" t="s">
        <v>308</v>
      </c>
      <c r="J81" s="4" t="e">
        <f>VLOOKUP(G:G,#REF!,2,0)</f>
        <v>#REF!</v>
      </c>
      <c r="K81" s="4" t="s">
        <v>111</v>
      </c>
      <c r="L81" s="4" t="s">
        <v>46</v>
      </c>
      <c r="M81" s="22" t="s">
        <v>274</v>
      </c>
    </row>
    <row r="82" spans="1:13" ht="33.75" x14ac:dyDescent="0.25">
      <c r="A82" s="4" t="s">
        <v>50</v>
      </c>
      <c r="B82" s="4" t="s">
        <v>390</v>
      </c>
      <c r="C82" s="16" t="s">
        <v>264</v>
      </c>
      <c r="D82" s="47">
        <v>13</v>
      </c>
      <c r="E82" s="15" t="s">
        <v>153</v>
      </c>
      <c r="F82" s="16">
        <v>1</v>
      </c>
      <c r="G82" s="4" t="s">
        <v>49</v>
      </c>
      <c r="H82" s="4" t="s">
        <v>48</v>
      </c>
      <c r="I82" s="4" t="s">
        <v>370</v>
      </c>
      <c r="J82" s="4" t="e">
        <f>VLOOKUP(G:G,#REF!,2,0)</f>
        <v>#REF!</v>
      </c>
      <c r="K82" s="4" t="s">
        <v>111</v>
      </c>
      <c r="L82" s="4" t="s">
        <v>46</v>
      </c>
      <c r="M82" s="5" t="s">
        <v>276</v>
      </c>
    </row>
    <row r="83" spans="1:13" ht="33.75" x14ac:dyDescent="0.25">
      <c r="A83" s="4" t="s">
        <v>67</v>
      </c>
      <c r="B83" s="4" t="s">
        <v>390</v>
      </c>
      <c r="C83" s="16" t="s">
        <v>264</v>
      </c>
      <c r="D83" s="45">
        <v>12</v>
      </c>
      <c r="E83" s="15" t="s">
        <v>236</v>
      </c>
      <c r="F83" s="16">
        <v>1</v>
      </c>
      <c r="G83" s="4" t="s">
        <v>66</v>
      </c>
      <c r="H83" s="4" t="s">
        <v>65</v>
      </c>
      <c r="I83" s="4" t="s">
        <v>337</v>
      </c>
      <c r="J83" s="4" t="e">
        <f>VLOOKUP(G:G,#REF!,2,0)</f>
        <v>#REF!</v>
      </c>
      <c r="K83" s="4" t="s">
        <v>111</v>
      </c>
      <c r="L83" s="4" t="s">
        <v>46</v>
      </c>
      <c r="M83" s="5" t="s">
        <v>278</v>
      </c>
    </row>
    <row r="84" spans="1:13" ht="21" x14ac:dyDescent="0.25">
      <c r="A84" s="9" t="e">
        <v>#N/A</v>
      </c>
      <c r="B84" s="9"/>
      <c r="C84" s="7"/>
      <c r="D84" s="6"/>
      <c r="E84" s="7" t="s">
        <v>146</v>
      </c>
      <c r="F84" s="8">
        <v>9</v>
      </c>
      <c r="G84" s="9">
        <v>7</v>
      </c>
      <c r="H84" s="9"/>
      <c r="I84" s="9"/>
      <c r="J84" s="9" t="e">
        <f>VLOOKUP(G:G,#REF!,2,0)</f>
        <v>#REF!</v>
      </c>
      <c r="K84" s="9"/>
      <c r="L84" s="9"/>
      <c r="M84" s="10"/>
    </row>
    <row r="85" spans="1:13" ht="22.5" x14ac:dyDescent="0.25">
      <c r="A85" s="4" t="s">
        <v>80</v>
      </c>
      <c r="B85" s="4" t="s">
        <v>391</v>
      </c>
      <c r="C85" s="16" t="s">
        <v>279</v>
      </c>
      <c r="D85" s="45">
        <v>16</v>
      </c>
      <c r="E85" s="46" t="s">
        <v>148</v>
      </c>
      <c r="F85" s="45">
        <v>1</v>
      </c>
      <c r="G85" s="4" t="s">
        <v>79</v>
      </c>
      <c r="H85" s="4" t="s">
        <v>78</v>
      </c>
      <c r="I85" s="4" t="s">
        <v>371</v>
      </c>
      <c r="J85" s="4" t="e">
        <f>VLOOKUP(G:G,#REF!,2,0)</f>
        <v>#REF!</v>
      </c>
      <c r="K85" s="4" t="s">
        <v>79</v>
      </c>
      <c r="L85" s="4" t="s">
        <v>46</v>
      </c>
      <c r="M85" s="5" t="s">
        <v>281</v>
      </c>
    </row>
    <row r="86" spans="1:13" ht="33.75" x14ac:dyDescent="0.25">
      <c r="A86" s="4" t="s">
        <v>4</v>
      </c>
      <c r="B86" s="4" t="s">
        <v>391</v>
      </c>
      <c r="C86" s="16" t="s">
        <v>279</v>
      </c>
      <c r="D86" s="47">
        <v>15</v>
      </c>
      <c r="E86" s="15" t="s">
        <v>162</v>
      </c>
      <c r="F86" s="16">
        <v>1</v>
      </c>
      <c r="G86" s="4" t="s">
        <v>3</v>
      </c>
      <c r="H86" s="4" t="s">
        <v>2</v>
      </c>
      <c r="I86" s="4" t="s">
        <v>372</v>
      </c>
      <c r="J86" s="4" t="e">
        <f>VLOOKUP(G:G,#REF!,2,0)</f>
        <v>#REF!</v>
      </c>
      <c r="K86" s="4" t="s">
        <v>79</v>
      </c>
      <c r="L86" s="4" t="s">
        <v>46</v>
      </c>
      <c r="M86" s="5" t="s">
        <v>283</v>
      </c>
    </row>
    <row r="87" spans="1:13" ht="22.5" x14ac:dyDescent="0.25">
      <c r="A87" s="21" t="s">
        <v>32</v>
      </c>
      <c r="B87" s="4" t="s">
        <v>391</v>
      </c>
      <c r="C87" s="16" t="s">
        <v>279</v>
      </c>
      <c r="D87" s="45">
        <v>14</v>
      </c>
      <c r="E87" s="46" t="s">
        <v>151</v>
      </c>
      <c r="F87" s="45">
        <v>1</v>
      </c>
      <c r="G87" s="21" t="s">
        <v>31</v>
      </c>
      <c r="H87" s="21" t="s">
        <v>30</v>
      </c>
      <c r="I87" s="21" t="s">
        <v>337</v>
      </c>
      <c r="J87" s="21" t="e">
        <f>VLOOKUP(G:G,#REF!,2,0)</f>
        <v>#REF!</v>
      </c>
      <c r="K87" s="4" t="s">
        <v>79</v>
      </c>
      <c r="L87" s="4" t="s">
        <v>46</v>
      </c>
      <c r="M87" s="5" t="s">
        <v>285</v>
      </c>
    </row>
    <row r="88" spans="1:13" ht="22.5" x14ac:dyDescent="0.25">
      <c r="A88" s="11" t="e">
        <v>#N/A</v>
      </c>
      <c r="B88" s="4" t="s">
        <v>391</v>
      </c>
      <c r="C88" s="16" t="s">
        <v>279</v>
      </c>
      <c r="D88" s="47">
        <v>13</v>
      </c>
      <c r="E88" s="48" t="s">
        <v>153</v>
      </c>
      <c r="F88" s="47">
        <v>1</v>
      </c>
      <c r="G88" s="11" t="s">
        <v>373</v>
      </c>
      <c r="H88" s="11" t="s">
        <v>374</v>
      </c>
      <c r="I88" s="11" t="s">
        <v>375</v>
      </c>
      <c r="J88" s="11" t="e">
        <f>VLOOKUP(G:G,#REF!,2,0)</f>
        <v>#REF!</v>
      </c>
      <c r="K88" s="4" t="s">
        <v>79</v>
      </c>
      <c r="L88" s="4" t="s">
        <v>46</v>
      </c>
      <c r="M88" s="12" t="s">
        <v>287</v>
      </c>
    </row>
    <row r="89" spans="1:13" ht="22.5" x14ac:dyDescent="0.25">
      <c r="A89" s="4" t="s">
        <v>41</v>
      </c>
      <c r="B89" s="4" t="s">
        <v>391</v>
      </c>
      <c r="C89" s="16" t="s">
        <v>279</v>
      </c>
      <c r="D89" s="45">
        <v>13</v>
      </c>
      <c r="E89" s="46" t="s">
        <v>153</v>
      </c>
      <c r="F89" s="45">
        <v>1</v>
      </c>
      <c r="G89" s="4" t="s">
        <v>40</v>
      </c>
      <c r="H89" s="4" t="s">
        <v>39</v>
      </c>
      <c r="I89" s="4" t="s">
        <v>326</v>
      </c>
      <c r="J89" s="4" t="e">
        <f>VLOOKUP(G:G,#REF!,2,0)</f>
        <v>#REF!</v>
      </c>
      <c r="K89" s="4" t="s">
        <v>79</v>
      </c>
      <c r="L89" s="4" t="s">
        <v>46</v>
      </c>
      <c r="M89" s="5" t="s">
        <v>289</v>
      </c>
    </row>
    <row r="90" spans="1:13" ht="22.5" x14ac:dyDescent="0.25">
      <c r="A90" s="21" t="s">
        <v>17</v>
      </c>
      <c r="B90" s="4" t="s">
        <v>391</v>
      </c>
      <c r="C90" s="16" t="s">
        <v>279</v>
      </c>
      <c r="D90" s="47">
        <v>13</v>
      </c>
      <c r="E90" s="48" t="s">
        <v>153</v>
      </c>
      <c r="F90" s="47">
        <v>1</v>
      </c>
      <c r="G90" s="21" t="s">
        <v>16</v>
      </c>
      <c r="H90" s="21" t="s">
        <v>15</v>
      </c>
      <c r="I90" s="21" t="s">
        <v>376</v>
      </c>
      <c r="J90" s="21" t="e">
        <f>VLOOKUP(G:G,#REF!,2,0)</f>
        <v>#REF!</v>
      </c>
      <c r="K90" s="4" t="s">
        <v>79</v>
      </c>
      <c r="L90" s="4" t="s">
        <v>46</v>
      </c>
      <c r="M90" s="5" t="s">
        <v>291</v>
      </c>
    </row>
    <row r="91" spans="1:13" ht="21" x14ac:dyDescent="0.25">
      <c r="A91" s="9" t="e">
        <v>#N/A</v>
      </c>
      <c r="B91" s="9"/>
      <c r="C91" s="9"/>
      <c r="D91" s="6"/>
      <c r="E91" s="7" t="s">
        <v>146</v>
      </c>
      <c r="F91" s="8">
        <v>6</v>
      </c>
      <c r="G91" s="9">
        <v>6</v>
      </c>
      <c r="H91" s="9"/>
      <c r="I91" s="9"/>
      <c r="J91" s="9" t="e">
        <f>VLOOKUP(G:G,#REF!,2,0)</f>
        <v>#REF!</v>
      </c>
      <c r="K91" s="9"/>
      <c r="L91" s="9"/>
      <c r="M91" s="10"/>
    </row>
    <row r="92" spans="1:13" ht="21" x14ac:dyDescent="0.25">
      <c r="A92" s="26" t="e">
        <v>#N/A</v>
      </c>
      <c r="B92" s="26"/>
      <c r="C92" s="23"/>
      <c r="D92" s="23"/>
      <c r="E92" s="24" t="s">
        <v>292</v>
      </c>
      <c r="F92" s="25">
        <v>77</v>
      </c>
      <c r="G92" s="26">
        <v>72</v>
      </c>
      <c r="H92" s="26"/>
      <c r="I92" s="26"/>
      <c r="J92" s="26" t="e">
        <f>VLOOKUP(G:G,#REF!,2,0)</f>
        <v>#REF!</v>
      </c>
      <c r="K92" s="26"/>
      <c r="L92" s="26"/>
      <c r="M92" s="27"/>
    </row>
  </sheetData>
  <phoneticPr fontId="1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8C347-07F5-4A39-9FBF-C8D318BBC257}">
  <dimension ref="A1:F91"/>
  <sheetViews>
    <sheetView workbookViewId="0">
      <selection activeCell="D12" sqref="D12"/>
    </sheetView>
  </sheetViews>
  <sheetFormatPr defaultRowHeight="15" x14ac:dyDescent="0.25"/>
  <cols>
    <col min="1" max="1" width="26.42578125" customWidth="1"/>
    <col min="2" max="2" width="8.7109375" customWidth="1"/>
    <col min="3" max="3" width="13.42578125" customWidth="1"/>
    <col min="4" max="4" width="13.7109375" customWidth="1"/>
    <col min="5" max="5" width="57.7109375" customWidth="1"/>
    <col min="6" max="6" width="24.28515625" customWidth="1"/>
  </cols>
  <sheetData>
    <row r="1" spans="1:6" x14ac:dyDescent="0.25">
      <c r="A1" s="37" t="s">
        <v>293</v>
      </c>
      <c r="B1" s="38" t="s">
        <v>297</v>
      </c>
      <c r="C1" s="38" t="s">
        <v>294</v>
      </c>
      <c r="D1" s="38" t="s">
        <v>298</v>
      </c>
      <c r="E1" s="38" t="s">
        <v>295</v>
      </c>
      <c r="F1" s="39" t="s">
        <v>296</v>
      </c>
    </row>
    <row r="2" spans="1:6" ht="22.5" x14ac:dyDescent="0.25">
      <c r="A2" s="29" t="s">
        <v>135</v>
      </c>
      <c r="B2" s="2">
        <v>18</v>
      </c>
      <c r="C2" s="3" t="s">
        <v>136</v>
      </c>
      <c r="D2" s="2">
        <v>1</v>
      </c>
      <c r="E2" s="4" t="s">
        <v>137</v>
      </c>
      <c r="F2" s="31" t="s">
        <v>138</v>
      </c>
    </row>
    <row r="3" spans="1:6" ht="33.75" x14ac:dyDescent="0.25">
      <c r="A3" s="29" t="s">
        <v>135</v>
      </c>
      <c r="B3" s="2">
        <v>17</v>
      </c>
      <c r="C3" s="3" t="s">
        <v>139</v>
      </c>
      <c r="D3" s="2">
        <v>1</v>
      </c>
      <c r="E3" s="4" t="s">
        <v>140</v>
      </c>
      <c r="F3" s="31" t="s">
        <v>141</v>
      </c>
    </row>
    <row r="4" spans="1:6" ht="33.75" x14ac:dyDescent="0.25">
      <c r="A4" s="29" t="s">
        <v>135</v>
      </c>
      <c r="B4" s="2">
        <v>17</v>
      </c>
      <c r="C4" s="3" t="s">
        <v>139</v>
      </c>
      <c r="D4" s="2">
        <v>1</v>
      </c>
      <c r="E4" s="4" t="s">
        <v>142</v>
      </c>
      <c r="F4" s="31" t="s">
        <v>143</v>
      </c>
    </row>
    <row r="5" spans="1:6" ht="33.75" x14ac:dyDescent="0.25">
      <c r="A5" s="29" t="s">
        <v>135</v>
      </c>
      <c r="B5" s="2">
        <v>17</v>
      </c>
      <c r="C5" s="3" t="s">
        <v>139</v>
      </c>
      <c r="D5" s="2">
        <v>1</v>
      </c>
      <c r="E5" s="4" t="s">
        <v>144</v>
      </c>
      <c r="F5" s="31" t="s">
        <v>145</v>
      </c>
    </row>
    <row r="6" spans="1:6" ht="21" x14ac:dyDescent="0.25">
      <c r="A6" s="6"/>
      <c r="B6" s="6"/>
      <c r="C6" s="7" t="s">
        <v>146</v>
      </c>
      <c r="D6" s="8">
        <v>4</v>
      </c>
      <c r="E6" s="9">
        <v>4</v>
      </c>
      <c r="F6" s="32"/>
    </row>
    <row r="7" spans="1:6" x14ac:dyDescent="0.25">
      <c r="A7" s="30" t="s">
        <v>147</v>
      </c>
      <c r="B7" s="2">
        <v>16</v>
      </c>
      <c r="C7" s="3" t="s">
        <v>148</v>
      </c>
      <c r="D7" s="2">
        <v>1</v>
      </c>
      <c r="E7" s="11" t="s">
        <v>149</v>
      </c>
      <c r="F7" s="33" t="s">
        <v>150</v>
      </c>
    </row>
    <row r="8" spans="1:6" x14ac:dyDescent="0.25">
      <c r="A8" s="30" t="s">
        <v>147</v>
      </c>
      <c r="B8" s="2">
        <v>14</v>
      </c>
      <c r="C8" s="3" t="s">
        <v>151</v>
      </c>
      <c r="D8" s="2">
        <v>1</v>
      </c>
      <c r="E8" s="11" t="s">
        <v>152</v>
      </c>
      <c r="F8" s="33" t="s">
        <v>145</v>
      </c>
    </row>
    <row r="9" spans="1:6" ht="22.5" x14ac:dyDescent="0.25">
      <c r="A9" s="30" t="s">
        <v>147</v>
      </c>
      <c r="B9" s="2">
        <v>14</v>
      </c>
      <c r="C9" s="3" t="s">
        <v>153</v>
      </c>
      <c r="D9" s="2">
        <v>1</v>
      </c>
      <c r="E9" s="11" t="s">
        <v>154</v>
      </c>
      <c r="F9" s="34" t="s">
        <v>155</v>
      </c>
    </row>
    <row r="10" spans="1:6" ht="22.5" x14ac:dyDescent="0.25">
      <c r="A10" s="30" t="s">
        <v>147</v>
      </c>
      <c r="B10" s="2">
        <v>13</v>
      </c>
      <c r="C10" s="3" t="s">
        <v>153</v>
      </c>
      <c r="D10" s="2">
        <v>1</v>
      </c>
      <c r="E10" s="14" t="s">
        <v>156</v>
      </c>
      <c r="F10" s="33"/>
    </row>
    <row r="11" spans="1:6" ht="22.5" x14ac:dyDescent="0.25">
      <c r="A11" s="30" t="s">
        <v>147</v>
      </c>
      <c r="B11" s="2">
        <v>11</v>
      </c>
      <c r="C11" s="3" t="s">
        <v>153</v>
      </c>
      <c r="D11" s="2">
        <v>1</v>
      </c>
      <c r="E11" s="11" t="s">
        <v>157</v>
      </c>
      <c r="F11" s="33" t="s">
        <v>158</v>
      </c>
    </row>
    <row r="12" spans="1:6" ht="21" x14ac:dyDescent="0.25">
      <c r="A12" s="6"/>
      <c r="B12" s="6"/>
      <c r="C12" s="7" t="s">
        <v>146</v>
      </c>
      <c r="D12" s="8">
        <v>5</v>
      </c>
      <c r="E12" s="9">
        <v>5</v>
      </c>
      <c r="F12" s="32"/>
    </row>
    <row r="13" spans="1:6" ht="22.5" x14ac:dyDescent="0.25">
      <c r="A13" s="30" t="s">
        <v>159</v>
      </c>
      <c r="B13" s="2">
        <v>16</v>
      </c>
      <c r="C13" s="3" t="s">
        <v>148</v>
      </c>
      <c r="D13" s="2">
        <v>1</v>
      </c>
      <c r="E13" s="4" t="s">
        <v>160</v>
      </c>
      <c r="F13" s="31" t="s">
        <v>161</v>
      </c>
    </row>
    <row r="14" spans="1:6" ht="33.75" x14ac:dyDescent="0.25">
      <c r="A14" s="30" t="s">
        <v>159</v>
      </c>
      <c r="B14" s="2">
        <v>15</v>
      </c>
      <c r="C14" s="15" t="s">
        <v>162</v>
      </c>
      <c r="D14" s="16">
        <v>1</v>
      </c>
      <c r="E14" s="4"/>
      <c r="F14" s="31"/>
    </row>
    <row r="15" spans="1:6" ht="22.5" x14ac:dyDescent="0.25">
      <c r="A15" s="30" t="s">
        <v>159</v>
      </c>
      <c r="B15" s="16">
        <v>14</v>
      </c>
      <c r="C15" s="15" t="s">
        <v>151</v>
      </c>
      <c r="D15" s="16">
        <v>1</v>
      </c>
      <c r="E15" s="4" t="s">
        <v>163</v>
      </c>
      <c r="F15" s="31" t="s">
        <v>164</v>
      </c>
    </row>
    <row r="16" spans="1:6" ht="22.5" x14ac:dyDescent="0.25">
      <c r="A16" s="30" t="s">
        <v>159</v>
      </c>
      <c r="B16" s="16">
        <v>14</v>
      </c>
      <c r="C16" s="15" t="s">
        <v>151</v>
      </c>
      <c r="D16" s="16">
        <v>1</v>
      </c>
      <c r="E16" s="11" t="s">
        <v>165</v>
      </c>
      <c r="F16" s="33" t="s">
        <v>166</v>
      </c>
    </row>
    <row r="17" spans="1:6" ht="22.5" x14ac:dyDescent="0.25">
      <c r="A17" s="30" t="s">
        <v>159</v>
      </c>
      <c r="B17" s="16">
        <v>14</v>
      </c>
      <c r="C17" s="15" t="s">
        <v>151</v>
      </c>
      <c r="D17" s="16">
        <v>1</v>
      </c>
      <c r="E17" s="11" t="s">
        <v>167</v>
      </c>
      <c r="F17" s="33" t="s">
        <v>168</v>
      </c>
    </row>
    <row r="18" spans="1:6" ht="22.5" x14ac:dyDescent="0.25">
      <c r="A18" s="30" t="s">
        <v>159</v>
      </c>
      <c r="B18" s="16">
        <v>14</v>
      </c>
      <c r="C18" s="15" t="s">
        <v>151</v>
      </c>
      <c r="D18" s="16">
        <v>1</v>
      </c>
      <c r="E18" s="4" t="s">
        <v>169</v>
      </c>
      <c r="F18" s="31" t="s">
        <v>170</v>
      </c>
    </row>
    <row r="19" spans="1:6" ht="22.5" x14ac:dyDescent="0.25">
      <c r="A19" s="30" t="s">
        <v>159</v>
      </c>
      <c r="B19" s="16">
        <v>14</v>
      </c>
      <c r="C19" s="15" t="s">
        <v>151</v>
      </c>
      <c r="D19" s="16">
        <v>1</v>
      </c>
      <c r="E19" s="4" t="s">
        <v>171</v>
      </c>
      <c r="F19" s="31" t="s">
        <v>172</v>
      </c>
    </row>
    <row r="20" spans="1:6" ht="27" x14ac:dyDescent="0.25">
      <c r="A20" s="30" t="s">
        <v>159</v>
      </c>
      <c r="B20" s="16">
        <v>13</v>
      </c>
      <c r="C20" s="3" t="s">
        <v>153</v>
      </c>
      <c r="D20" s="2">
        <v>1</v>
      </c>
      <c r="E20" s="17" t="s">
        <v>173</v>
      </c>
      <c r="F20" s="31" t="s">
        <v>174</v>
      </c>
    </row>
    <row r="21" spans="1:6" ht="22.5" x14ac:dyDescent="0.25">
      <c r="A21" s="30" t="s">
        <v>159</v>
      </c>
      <c r="B21" s="16">
        <v>12</v>
      </c>
      <c r="C21" s="15" t="s">
        <v>153</v>
      </c>
      <c r="D21" s="16">
        <v>1</v>
      </c>
      <c r="E21" s="11"/>
      <c r="F21" s="33"/>
    </row>
    <row r="22" spans="1:6" ht="21" x14ac:dyDescent="0.25">
      <c r="A22" s="6"/>
      <c r="B22" s="6"/>
      <c r="C22" s="7" t="s">
        <v>146</v>
      </c>
      <c r="D22" s="8">
        <v>9</v>
      </c>
      <c r="E22" s="9">
        <v>8</v>
      </c>
      <c r="F22" s="32"/>
    </row>
    <row r="23" spans="1:6" ht="22.5" x14ac:dyDescent="0.25">
      <c r="A23" s="30" t="s">
        <v>175</v>
      </c>
      <c r="B23" s="2">
        <v>16</v>
      </c>
      <c r="C23" s="3" t="s">
        <v>148</v>
      </c>
      <c r="D23" s="2">
        <v>1</v>
      </c>
      <c r="E23" s="4" t="s">
        <v>176</v>
      </c>
      <c r="F23" s="31" t="s">
        <v>177</v>
      </c>
    </row>
    <row r="24" spans="1:6" ht="33.75" x14ac:dyDescent="0.25">
      <c r="A24" s="30" t="s">
        <v>175</v>
      </c>
      <c r="B24" s="2">
        <v>15</v>
      </c>
      <c r="C24" s="15" t="s">
        <v>162</v>
      </c>
      <c r="D24" s="16">
        <v>1</v>
      </c>
      <c r="E24" s="4" t="s">
        <v>178</v>
      </c>
      <c r="F24" s="31" t="s">
        <v>179</v>
      </c>
    </row>
    <row r="25" spans="1:6" ht="22.5" x14ac:dyDescent="0.25">
      <c r="A25" s="30" t="s">
        <v>175</v>
      </c>
      <c r="B25" s="16">
        <v>14</v>
      </c>
      <c r="C25" s="15" t="s">
        <v>151</v>
      </c>
      <c r="D25" s="16">
        <v>1</v>
      </c>
      <c r="E25" s="4" t="s">
        <v>180</v>
      </c>
      <c r="F25" s="31" t="s">
        <v>181</v>
      </c>
    </row>
    <row r="26" spans="1:6" ht="22.5" x14ac:dyDescent="0.25">
      <c r="A26" s="30" t="s">
        <v>175</v>
      </c>
      <c r="B26" s="16">
        <v>14</v>
      </c>
      <c r="C26" s="15" t="s">
        <v>151</v>
      </c>
      <c r="D26" s="16">
        <v>1</v>
      </c>
      <c r="E26" s="4" t="s">
        <v>182</v>
      </c>
      <c r="F26" s="31" t="s">
        <v>183</v>
      </c>
    </row>
    <row r="27" spans="1:6" ht="22.5" x14ac:dyDescent="0.25">
      <c r="A27" s="30" t="s">
        <v>175</v>
      </c>
      <c r="B27" s="16">
        <v>13</v>
      </c>
      <c r="C27" s="15" t="s">
        <v>153</v>
      </c>
      <c r="D27" s="16">
        <v>1</v>
      </c>
      <c r="E27" s="11" t="s">
        <v>184</v>
      </c>
      <c r="F27" s="35" t="s">
        <v>185</v>
      </c>
    </row>
    <row r="28" spans="1:6" ht="22.5" x14ac:dyDescent="0.25">
      <c r="A28" s="30" t="s">
        <v>175</v>
      </c>
      <c r="B28" s="16">
        <v>13</v>
      </c>
      <c r="C28" s="3" t="s">
        <v>153</v>
      </c>
      <c r="D28" s="2">
        <v>1</v>
      </c>
      <c r="E28" s="11" t="s">
        <v>186</v>
      </c>
      <c r="F28" s="33" t="s">
        <v>187</v>
      </c>
    </row>
    <row r="29" spans="1:6" ht="21" x14ac:dyDescent="0.25">
      <c r="A29" s="6"/>
      <c r="B29" s="6"/>
      <c r="C29" s="7" t="s">
        <v>146</v>
      </c>
      <c r="D29" s="8">
        <v>6</v>
      </c>
      <c r="E29" s="9">
        <v>6</v>
      </c>
      <c r="F29" s="32"/>
    </row>
    <row r="30" spans="1:6" ht="22.5" x14ac:dyDescent="0.25">
      <c r="A30" s="30" t="s">
        <v>188</v>
      </c>
      <c r="B30" s="2">
        <v>16</v>
      </c>
      <c r="C30" s="3" t="s">
        <v>148</v>
      </c>
      <c r="D30" s="2">
        <v>1</v>
      </c>
      <c r="E30" s="4" t="s">
        <v>189</v>
      </c>
      <c r="F30" s="31" t="s">
        <v>190</v>
      </c>
    </row>
    <row r="31" spans="1:6" ht="33.75" x14ac:dyDescent="0.25">
      <c r="A31" s="30" t="s">
        <v>188</v>
      </c>
      <c r="B31" s="2">
        <v>15</v>
      </c>
      <c r="C31" s="15" t="s">
        <v>162</v>
      </c>
      <c r="D31" s="16">
        <v>1</v>
      </c>
      <c r="E31" s="4"/>
      <c r="F31" s="31"/>
    </row>
    <row r="32" spans="1:6" ht="22.5" x14ac:dyDescent="0.25">
      <c r="A32" s="30" t="s">
        <v>188</v>
      </c>
      <c r="B32" s="16">
        <v>14</v>
      </c>
      <c r="C32" s="15" t="s">
        <v>151</v>
      </c>
      <c r="D32" s="16">
        <v>1</v>
      </c>
      <c r="E32" s="4" t="s">
        <v>191</v>
      </c>
      <c r="F32" s="31" t="s">
        <v>192</v>
      </c>
    </row>
    <row r="33" spans="1:6" ht="22.5" x14ac:dyDescent="0.25">
      <c r="A33" s="30" t="s">
        <v>188</v>
      </c>
      <c r="B33" s="16">
        <v>14</v>
      </c>
      <c r="C33" s="15" t="s">
        <v>151</v>
      </c>
      <c r="D33" s="16">
        <v>1</v>
      </c>
      <c r="E33" s="4" t="s">
        <v>193</v>
      </c>
      <c r="F33" s="31" t="s">
        <v>194</v>
      </c>
    </row>
    <row r="34" spans="1:6" ht="22.5" x14ac:dyDescent="0.25">
      <c r="A34" s="30" t="s">
        <v>188</v>
      </c>
      <c r="B34" s="16">
        <v>13</v>
      </c>
      <c r="C34" s="15" t="s">
        <v>153</v>
      </c>
      <c r="D34" s="16">
        <v>1</v>
      </c>
      <c r="E34" s="4"/>
      <c r="F34" s="31"/>
    </row>
    <row r="35" spans="1:6" ht="22.5" x14ac:dyDescent="0.25">
      <c r="A35" s="30" t="s">
        <v>188</v>
      </c>
      <c r="B35" s="16">
        <v>13</v>
      </c>
      <c r="C35" s="3" t="s">
        <v>153</v>
      </c>
      <c r="D35" s="2">
        <v>1</v>
      </c>
      <c r="E35" s="19" t="s">
        <v>195</v>
      </c>
      <c r="F35" s="33" t="s">
        <v>196</v>
      </c>
    </row>
    <row r="36" spans="1:6" ht="27" x14ac:dyDescent="0.25">
      <c r="A36" s="30" t="s">
        <v>188</v>
      </c>
      <c r="B36" s="16">
        <v>12</v>
      </c>
      <c r="C36" s="3" t="s">
        <v>153</v>
      </c>
      <c r="D36" s="2">
        <v>1</v>
      </c>
      <c r="E36" s="11" t="s">
        <v>197</v>
      </c>
      <c r="F36" s="33" t="s">
        <v>198</v>
      </c>
    </row>
    <row r="37" spans="1:6" ht="21" x14ac:dyDescent="0.25">
      <c r="A37" s="6"/>
      <c r="B37" s="6"/>
      <c r="C37" s="7" t="s">
        <v>146</v>
      </c>
      <c r="D37" s="8">
        <v>7</v>
      </c>
      <c r="E37" s="9">
        <v>6</v>
      </c>
      <c r="F37" s="32"/>
    </row>
    <row r="38" spans="1:6" ht="22.5" x14ac:dyDescent="0.25">
      <c r="A38" s="30" t="s">
        <v>199</v>
      </c>
      <c r="B38" s="2">
        <v>16</v>
      </c>
      <c r="C38" s="15" t="s">
        <v>148</v>
      </c>
      <c r="D38" s="16">
        <v>1</v>
      </c>
      <c r="E38" s="4" t="s">
        <v>200</v>
      </c>
      <c r="F38" s="31" t="s">
        <v>201</v>
      </c>
    </row>
    <row r="39" spans="1:6" ht="33.75" x14ac:dyDescent="0.25">
      <c r="A39" s="30" t="s">
        <v>199</v>
      </c>
      <c r="B39" s="16">
        <v>15</v>
      </c>
      <c r="C39" s="15" t="s">
        <v>162</v>
      </c>
      <c r="D39" s="16">
        <v>1</v>
      </c>
      <c r="E39" s="4" t="s">
        <v>202</v>
      </c>
      <c r="F39" s="31" t="s">
        <v>203</v>
      </c>
    </row>
    <row r="40" spans="1:6" ht="22.5" x14ac:dyDescent="0.25">
      <c r="A40" s="30" t="s">
        <v>199</v>
      </c>
      <c r="B40" s="16">
        <v>14</v>
      </c>
      <c r="C40" s="15" t="s">
        <v>151</v>
      </c>
      <c r="D40" s="16">
        <v>1</v>
      </c>
      <c r="E40" s="4" t="s">
        <v>204</v>
      </c>
      <c r="F40" s="31" t="s">
        <v>205</v>
      </c>
    </row>
    <row r="41" spans="1:6" ht="22.5" x14ac:dyDescent="0.25">
      <c r="A41" s="30" t="s">
        <v>199</v>
      </c>
      <c r="B41" s="16">
        <v>13</v>
      </c>
      <c r="C41" s="15" t="s">
        <v>153</v>
      </c>
      <c r="D41" s="16">
        <v>1</v>
      </c>
      <c r="E41" s="11" t="s">
        <v>206</v>
      </c>
      <c r="F41" s="33" t="s">
        <v>207</v>
      </c>
    </row>
    <row r="42" spans="1:6" ht="22.5" x14ac:dyDescent="0.25">
      <c r="A42" s="30" t="s">
        <v>199</v>
      </c>
      <c r="B42" s="16">
        <v>13</v>
      </c>
      <c r="C42" s="15" t="s">
        <v>153</v>
      </c>
      <c r="D42" s="16">
        <v>1</v>
      </c>
      <c r="E42" s="4" t="s">
        <v>208</v>
      </c>
      <c r="F42" s="31" t="s">
        <v>209</v>
      </c>
    </row>
    <row r="43" spans="1:6" ht="22.5" x14ac:dyDescent="0.25">
      <c r="A43" s="30" t="s">
        <v>199</v>
      </c>
      <c r="B43" s="16">
        <v>13</v>
      </c>
      <c r="C43" s="15" t="s">
        <v>153</v>
      </c>
      <c r="D43" s="16">
        <v>1</v>
      </c>
      <c r="E43" s="4" t="s">
        <v>210</v>
      </c>
      <c r="F43" s="31" t="s">
        <v>211</v>
      </c>
    </row>
    <row r="44" spans="1:6" ht="21" x14ac:dyDescent="0.25">
      <c r="A44" s="6"/>
      <c r="B44" s="6"/>
      <c r="C44" s="7" t="s">
        <v>146</v>
      </c>
      <c r="D44" s="8">
        <v>6</v>
      </c>
      <c r="E44" s="9">
        <v>6</v>
      </c>
      <c r="F44" s="32"/>
    </row>
    <row r="45" spans="1:6" ht="22.5" x14ac:dyDescent="0.25">
      <c r="A45" s="30" t="s">
        <v>212</v>
      </c>
      <c r="B45" s="2">
        <v>16</v>
      </c>
      <c r="C45" s="3" t="s">
        <v>148</v>
      </c>
      <c r="D45" s="2">
        <v>1</v>
      </c>
      <c r="E45" s="4" t="s">
        <v>213</v>
      </c>
      <c r="F45" s="31" t="s">
        <v>214</v>
      </c>
    </row>
    <row r="46" spans="1:6" ht="33.75" x14ac:dyDescent="0.25">
      <c r="A46" s="30" t="s">
        <v>212</v>
      </c>
      <c r="B46" s="16">
        <v>15</v>
      </c>
      <c r="C46" s="15" t="s">
        <v>162</v>
      </c>
      <c r="D46" s="16">
        <v>1</v>
      </c>
      <c r="E46" s="4" t="s">
        <v>215</v>
      </c>
      <c r="F46" s="31" t="s">
        <v>216</v>
      </c>
    </row>
    <row r="47" spans="1:6" ht="22.5" x14ac:dyDescent="0.25">
      <c r="A47" s="30" t="s">
        <v>212</v>
      </c>
      <c r="B47" s="16">
        <v>14</v>
      </c>
      <c r="C47" s="15" t="s">
        <v>151</v>
      </c>
      <c r="D47" s="16">
        <v>1</v>
      </c>
      <c r="E47" s="4" t="s">
        <v>217</v>
      </c>
      <c r="F47" s="31" t="s">
        <v>218</v>
      </c>
    </row>
    <row r="48" spans="1:6" ht="22.5" x14ac:dyDescent="0.25">
      <c r="A48" s="30" t="s">
        <v>212</v>
      </c>
      <c r="B48" s="16">
        <v>14</v>
      </c>
      <c r="C48" s="15" t="s">
        <v>151</v>
      </c>
      <c r="D48" s="16">
        <v>1</v>
      </c>
      <c r="E48" s="4" t="s">
        <v>219</v>
      </c>
      <c r="F48" s="31" t="s">
        <v>220</v>
      </c>
    </row>
    <row r="49" spans="1:6" ht="22.5" x14ac:dyDescent="0.25">
      <c r="A49" s="30" t="s">
        <v>212</v>
      </c>
      <c r="B49" s="16">
        <v>13</v>
      </c>
      <c r="C49" s="15" t="s">
        <v>153</v>
      </c>
      <c r="D49" s="16">
        <v>1</v>
      </c>
      <c r="E49" s="11" t="s">
        <v>221</v>
      </c>
      <c r="F49" s="35" t="s">
        <v>222</v>
      </c>
    </row>
    <row r="50" spans="1:6" ht="22.5" x14ac:dyDescent="0.25">
      <c r="A50" s="30" t="s">
        <v>212</v>
      </c>
      <c r="B50" s="16">
        <v>12</v>
      </c>
      <c r="C50" s="15" t="s">
        <v>153</v>
      </c>
      <c r="D50" s="16">
        <v>1</v>
      </c>
      <c r="E50" s="20" t="s">
        <v>223</v>
      </c>
      <c r="F50" s="33" t="s">
        <v>224</v>
      </c>
    </row>
    <row r="51" spans="1:6" ht="21" x14ac:dyDescent="0.25">
      <c r="A51" s="8"/>
      <c r="B51" s="6"/>
      <c r="C51" s="7" t="s">
        <v>146</v>
      </c>
      <c r="D51" s="8">
        <v>6</v>
      </c>
      <c r="E51" s="9">
        <v>6</v>
      </c>
      <c r="F51" s="32"/>
    </row>
    <row r="52" spans="1:6" ht="22.5" x14ac:dyDescent="0.25">
      <c r="A52" s="30" t="s">
        <v>225</v>
      </c>
      <c r="B52" s="2">
        <v>16</v>
      </c>
      <c r="C52" s="15" t="s">
        <v>148</v>
      </c>
      <c r="D52" s="16">
        <v>1</v>
      </c>
      <c r="E52" s="4" t="s">
        <v>226</v>
      </c>
      <c r="F52" s="31" t="s">
        <v>227</v>
      </c>
    </row>
    <row r="53" spans="1:6" ht="33.75" x14ac:dyDescent="0.25">
      <c r="A53" s="30" t="s">
        <v>225</v>
      </c>
      <c r="B53" s="16">
        <v>15</v>
      </c>
      <c r="C53" s="15" t="s">
        <v>162</v>
      </c>
      <c r="D53" s="16">
        <v>1</v>
      </c>
      <c r="E53" s="4" t="s">
        <v>228</v>
      </c>
      <c r="F53" s="31" t="s">
        <v>229</v>
      </c>
    </row>
    <row r="54" spans="1:6" ht="22.5" x14ac:dyDescent="0.25">
      <c r="A54" s="30" t="s">
        <v>225</v>
      </c>
      <c r="B54" s="16">
        <v>14</v>
      </c>
      <c r="C54" s="15" t="s">
        <v>151</v>
      </c>
      <c r="D54" s="16">
        <v>1</v>
      </c>
      <c r="E54" s="4" t="s">
        <v>230</v>
      </c>
      <c r="F54" s="31" t="s">
        <v>231</v>
      </c>
    </row>
    <row r="55" spans="1:6" ht="22.5" x14ac:dyDescent="0.25">
      <c r="A55" s="30" t="s">
        <v>225</v>
      </c>
      <c r="B55" s="16">
        <v>13</v>
      </c>
      <c r="C55" s="15" t="s">
        <v>153</v>
      </c>
      <c r="D55" s="16">
        <v>1</v>
      </c>
      <c r="E55" s="4" t="s">
        <v>232</v>
      </c>
      <c r="F55" s="31" t="s">
        <v>233</v>
      </c>
    </row>
    <row r="56" spans="1:6" ht="22.5" x14ac:dyDescent="0.25">
      <c r="A56" s="30" t="s">
        <v>225</v>
      </c>
      <c r="B56" s="16">
        <v>13</v>
      </c>
      <c r="C56" s="3" t="s">
        <v>153</v>
      </c>
      <c r="D56" s="2">
        <v>1</v>
      </c>
      <c r="E56" s="11" t="s">
        <v>234</v>
      </c>
      <c r="F56" s="33" t="s">
        <v>235</v>
      </c>
    </row>
    <row r="57" spans="1:6" x14ac:dyDescent="0.25">
      <c r="A57" s="30"/>
      <c r="B57" s="16">
        <v>11</v>
      </c>
      <c r="C57" s="15" t="s">
        <v>236</v>
      </c>
      <c r="D57" s="16">
        <v>1</v>
      </c>
      <c r="E57" s="4" t="s">
        <v>237</v>
      </c>
      <c r="F57" s="31" t="s">
        <v>238</v>
      </c>
    </row>
    <row r="58" spans="1:6" ht="21" x14ac:dyDescent="0.25">
      <c r="A58" s="9"/>
      <c r="B58" s="6"/>
      <c r="C58" s="7" t="s">
        <v>146</v>
      </c>
      <c r="D58" s="8">
        <v>6</v>
      </c>
      <c r="E58" s="9">
        <v>6</v>
      </c>
      <c r="F58" s="32"/>
    </row>
    <row r="59" spans="1:6" ht="22.5" x14ac:dyDescent="0.25">
      <c r="A59" s="30" t="s">
        <v>239</v>
      </c>
      <c r="B59" s="2">
        <v>16</v>
      </c>
      <c r="C59" s="15" t="s">
        <v>148</v>
      </c>
      <c r="D59" s="16">
        <v>1</v>
      </c>
      <c r="E59" s="4" t="s">
        <v>240</v>
      </c>
      <c r="F59" s="31" t="s">
        <v>241</v>
      </c>
    </row>
    <row r="60" spans="1:6" ht="33.75" x14ac:dyDescent="0.25">
      <c r="A60" s="30" t="s">
        <v>239</v>
      </c>
      <c r="B60" s="16">
        <v>15</v>
      </c>
      <c r="C60" s="15" t="s">
        <v>162</v>
      </c>
      <c r="D60" s="16">
        <v>1</v>
      </c>
      <c r="E60" s="4" t="s">
        <v>242</v>
      </c>
      <c r="F60" s="31" t="s">
        <v>243</v>
      </c>
    </row>
    <row r="61" spans="1:6" ht="22.5" x14ac:dyDescent="0.25">
      <c r="A61" s="30" t="s">
        <v>239</v>
      </c>
      <c r="B61" s="16">
        <v>14</v>
      </c>
      <c r="C61" s="15" t="s">
        <v>151</v>
      </c>
      <c r="D61" s="16">
        <v>1</v>
      </c>
      <c r="E61" s="4" t="s">
        <v>244</v>
      </c>
      <c r="F61" s="31" t="s">
        <v>245</v>
      </c>
    </row>
    <row r="62" spans="1:6" ht="22.5" x14ac:dyDescent="0.25">
      <c r="A62" s="30" t="s">
        <v>239</v>
      </c>
      <c r="B62" s="16">
        <v>14</v>
      </c>
      <c r="C62" s="15" t="s">
        <v>151</v>
      </c>
      <c r="D62" s="16">
        <v>1</v>
      </c>
      <c r="E62" s="4" t="s">
        <v>246</v>
      </c>
      <c r="F62" s="31" t="s">
        <v>241</v>
      </c>
    </row>
    <row r="63" spans="1:6" ht="22.5" x14ac:dyDescent="0.25">
      <c r="A63" s="30" t="s">
        <v>239</v>
      </c>
      <c r="B63" s="16">
        <v>13</v>
      </c>
      <c r="C63" s="3" t="s">
        <v>153</v>
      </c>
      <c r="D63" s="2">
        <v>1</v>
      </c>
      <c r="E63" s="4" t="s">
        <v>247</v>
      </c>
      <c r="F63" s="31" t="s">
        <v>248</v>
      </c>
    </row>
    <row r="64" spans="1:6" ht="22.5" x14ac:dyDescent="0.25">
      <c r="A64" s="30" t="s">
        <v>239</v>
      </c>
      <c r="B64" s="16">
        <v>14</v>
      </c>
      <c r="C64" s="3" t="s">
        <v>153</v>
      </c>
      <c r="D64" s="2">
        <v>1</v>
      </c>
      <c r="E64" s="11" t="s">
        <v>249</v>
      </c>
      <c r="F64" s="33" t="s">
        <v>250</v>
      </c>
    </row>
    <row r="65" spans="1:6" ht="22.5" x14ac:dyDescent="0.25">
      <c r="A65" s="30" t="s">
        <v>239</v>
      </c>
      <c r="B65" s="16">
        <v>13</v>
      </c>
      <c r="C65" s="3" t="s">
        <v>153</v>
      </c>
      <c r="D65" s="2">
        <v>1</v>
      </c>
      <c r="E65" s="11"/>
      <c r="F65" s="33"/>
    </row>
    <row r="66" spans="1:6" ht="21" x14ac:dyDescent="0.25">
      <c r="A66" s="9"/>
      <c r="B66" s="6"/>
      <c r="C66" s="7" t="s">
        <v>146</v>
      </c>
      <c r="D66" s="8">
        <v>7</v>
      </c>
      <c r="E66" s="9">
        <v>6</v>
      </c>
      <c r="F66" s="32"/>
    </row>
    <row r="67" spans="1:6" ht="22.5" x14ac:dyDescent="0.25">
      <c r="A67" s="30" t="s">
        <v>251</v>
      </c>
      <c r="B67" s="2">
        <v>16</v>
      </c>
      <c r="C67" s="3" t="s">
        <v>148</v>
      </c>
      <c r="D67" s="2">
        <v>1</v>
      </c>
      <c r="E67" s="4" t="s">
        <v>252</v>
      </c>
      <c r="F67" s="31" t="s">
        <v>253</v>
      </c>
    </row>
    <row r="68" spans="1:6" ht="33.75" x14ac:dyDescent="0.25">
      <c r="A68" s="30" t="s">
        <v>251</v>
      </c>
      <c r="B68" s="2">
        <v>15</v>
      </c>
      <c r="C68" s="15" t="s">
        <v>162</v>
      </c>
      <c r="D68" s="16">
        <v>1</v>
      </c>
      <c r="E68" s="4" t="s">
        <v>254</v>
      </c>
      <c r="F68" s="31" t="s">
        <v>255</v>
      </c>
    </row>
    <row r="69" spans="1:6" ht="22.5" x14ac:dyDescent="0.25">
      <c r="A69" s="30" t="s">
        <v>251</v>
      </c>
      <c r="B69" s="2">
        <v>14</v>
      </c>
      <c r="C69" s="15" t="s">
        <v>151</v>
      </c>
      <c r="D69" s="16">
        <v>1</v>
      </c>
      <c r="E69" s="21" t="s">
        <v>256</v>
      </c>
      <c r="F69" s="31" t="s">
        <v>257</v>
      </c>
    </row>
    <row r="70" spans="1:6" ht="22.5" x14ac:dyDescent="0.25">
      <c r="A70" s="30" t="s">
        <v>251</v>
      </c>
      <c r="B70" s="2">
        <v>14</v>
      </c>
      <c r="C70" s="15" t="s">
        <v>151</v>
      </c>
      <c r="D70" s="16">
        <v>1</v>
      </c>
      <c r="E70" s="4" t="s">
        <v>258</v>
      </c>
      <c r="F70" s="31" t="s">
        <v>259</v>
      </c>
    </row>
    <row r="71" spans="1:6" ht="22.5" x14ac:dyDescent="0.25">
      <c r="A71" s="30" t="s">
        <v>251</v>
      </c>
      <c r="B71" s="2">
        <v>13</v>
      </c>
      <c r="C71" s="15" t="s">
        <v>151</v>
      </c>
      <c r="D71" s="16">
        <v>1</v>
      </c>
      <c r="E71" s="21" t="s">
        <v>260</v>
      </c>
      <c r="F71" s="31" t="s">
        <v>261</v>
      </c>
    </row>
    <row r="72" spans="1:6" ht="22.5" x14ac:dyDescent="0.25">
      <c r="A72" s="30" t="s">
        <v>251</v>
      </c>
      <c r="B72" s="2">
        <v>12</v>
      </c>
      <c r="C72" s="3" t="s">
        <v>236</v>
      </c>
      <c r="D72" s="2">
        <v>1</v>
      </c>
      <c r="E72" s="11" t="s">
        <v>262</v>
      </c>
      <c r="F72" s="33" t="s">
        <v>263</v>
      </c>
    </row>
    <row r="73" spans="1:6" ht="21" x14ac:dyDescent="0.25">
      <c r="A73" s="9"/>
      <c r="B73" s="6"/>
      <c r="C73" s="7" t="s">
        <v>146</v>
      </c>
      <c r="D73" s="8">
        <v>6</v>
      </c>
      <c r="E73" s="9">
        <v>6</v>
      </c>
      <c r="F73" s="32"/>
    </row>
    <row r="74" spans="1:6" ht="33.75" x14ac:dyDescent="0.25">
      <c r="A74" s="30" t="s">
        <v>264</v>
      </c>
      <c r="B74" s="2">
        <v>16</v>
      </c>
      <c r="C74" s="15" t="s">
        <v>148</v>
      </c>
      <c r="D74" s="16">
        <v>1</v>
      </c>
      <c r="E74" s="4" t="s">
        <v>265</v>
      </c>
      <c r="F74" s="31" t="s">
        <v>266</v>
      </c>
    </row>
    <row r="75" spans="1:6" ht="33.75" x14ac:dyDescent="0.25">
      <c r="A75" s="30" t="s">
        <v>264</v>
      </c>
      <c r="B75" s="2">
        <v>14</v>
      </c>
      <c r="C75" s="15" t="s">
        <v>162</v>
      </c>
      <c r="D75" s="16">
        <v>1</v>
      </c>
      <c r="E75" s="11"/>
      <c r="F75" s="35"/>
    </row>
    <row r="76" spans="1:6" ht="33.75" x14ac:dyDescent="0.25">
      <c r="A76" s="30" t="s">
        <v>264</v>
      </c>
      <c r="B76" s="2">
        <v>14</v>
      </c>
      <c r="C76" s="15" t="s">
        <v>151</v>
      </c>
      <c r="D76" s="16">
        <v>1</v>
      </c>
      <c r="E76" s="4" t="s">
        <v>267</v>
      </c>
      <c r="F76" s="31" t="s">
        <v>268</v>
      </c>
    </row>
    <row r="77" spans="1:6" ht="33.75" x14ac:dyDescent="0.25">
      <c r="A77" s="30" t="s">
        <v>264</v>
      </c>
      <c r="B77" s="2">
        <v>14</v>
      </c>
      <c r="C77" s="15" t="s">
        <v>151</v>
      </c>
      <c r="D77" s="16">
        <v>1</v>
      </c>
      <c r="E77" s="4" t="s">
        <v>269</v>
      </c>
      <c r="F77" s="31" t="s">
        <v>270</v>
      </c>
    </row>
    <row r="78" spans="1:6" ht="33.75" x14ac:dyDescent="0.25">
      <c r="A78" s="30" t="s">
        <v>264</v>
      </c>
      <c r="B78" s="2">
        <v>14</v>
      </c>
      <c r="C78" s="15" t="s">
        <v>151</v>
      </c>
      <c r="D78" s="16">
        <v>1</v>
      </c>
      <c r="E78" s="4" t="s">
        <v>271</v>
      </c>
      <c r="F78" s="31" t="s">
        <v>272</v>
      </c>
    </row>
    <row r="79" spans="1:6" ht="33.75" x14ac:dyDescent="0.25">
      <c r="A79" s="30" t="s">
        <v>264</v>
      </c>
      <c r="B79" s="2">
        <v>14</v>
      </c>
      <c r="C79" s="15" t="s">
        <v>151</v>
      </c>
      <c r="D79" s="16">
        <v>1</v>
      </c>
      <c r="E79" s="4"/>
      <c r="F79" s="31"/>
    </row>
    <row r="80" spans="1:6" ht="33.75" x14ac:dyDescent="0.25">
      <c r="A80" s="30" t="s">
        <v>264</v>
      </c>
      <c r="B80" s="2">
        <v>13</v>
      </c>
      <c r="C80" s="15" t="s">
        <v>153</v>
      </c>
      <c r="D80" s="16">
        <v>1</v>
      </c>
      <c r="E80" s="4" t="s">
        <v>273</v>
      </c>
      <c r="F80" s="36" t="s">
        <v>274</v>
      </c>
    </row>
    <row r="81" spans="1:6" ht="33.75" x14ac:dyDescent="0.25">
      <c r="A81" s="30" t="s">
        <v>264</v>
      </c>
      <c r="B81" s="2">
        <v>13</v>
      </c>
      <c r="C81" s="15" t="s">
        <v>153</v>
      </c>
      <c r="D81" s="16">
        <v>1</v>
      </c>
      <c r="E81" s="4" t="s">
        <v>275</v>
      </c>
      <c r="F81" s="31" t="s">
        <v>276</v>
      </c>
    </row>
    <row r="82" spans="1:6" ht="33.75" x14ac:dyDescent="0.25">
      <c r="A82" s="30" t="s">
        <v>264</v>
      </c>
      <c r="B82" s="2">
        <v>12</v>
      </c>
      <c r="C82" s="15" t="s">
        <v>236</v>
      </c>
      <c r="D82" s="16">
        <v>1</v>
      </c>
      <c r="E82" s="4" t="s">
        <v>277</v>
      </c>
      <c r="F82" s="31" t="s">
        <v>278</v>
      </c>
    </row>
    <row r="83" spans="1:6" ht="21" x14ac:dyDescent="0.25">
      <c r="A83" s="7"/>
      <c r="B83" s="6"/>
      <c r="C83" s="7" t="s">
        <v>146</v>
      </c>
      <c r="D83" s="8">
        <v>9</v>
      </c>
      <c r="E83" s="9">
        <v>7</v>
      </c>
      <c r="F83" s="32"/>
    </row>
    <row r="84" spans="1:6" ht="22.5" x14ac:dyDescent="0.25">
      <c r="A84" s="30" t="s">
        <v>279</v>
      </c>
      <c r="B84" s="2">
        <v>16</v>
      </c>
      <c r="C84" s="3" t="s">
        <v>148</v>
      </c>
      <c r="D84" s="2">
        <v>1</v>
      </c>
      <c r="E84" s="4" t="s">
        <v>280</v>
      </c>
      <c r="F84" s="31" t="s">
        <v>281</v>
      </c>
    </row>
    <row r="85" spans="1:6" ht="33.75" x14ac:dyDescent="0.25">
      <c r="A85" s="30" t="s">
        <v>279</v>
      </c>
      <c r="B85" s="2">
        <v>15</v>
      </c>
      <c r="C85" s="15" t="s">
        <v>162</v>
      </c>
      <c r="D85" s="16">
        <v>1</v>
      </c>
      <c r="E85" s="4" t="s">
        <v>282</v>
      </c>
      <c r="F85" s="31" t="s">
        <v>283</v>
      </c>
    </row>
    <row r="86" spans="1:6" ht="22.5" x14ac:dyDescent="0.25">
      <c r="A86" s="30" t="s">
        <v>279</v>
      </c>
      <c r="B86" s="2">
        <v>14</v>
      </c>
      <c r="C86" s="3" t="s">
        <v>151</v>
      </c>
      <c r="D86" s="2">
        <v>1</v>
      </c>
      <c r="E86" s="21" t="s">
        <v>284</v>
      </c>
      <c r="F86" s="31" t="s">
        <v>285</v>
      </c>
    </row>
    <row r="87" spans="1:6" ht="22.5" x14ac:dyDescent="0.25">
      <c r="A87" s="30" t="s">
        <v>279</v>
      </c>
      <c r="B87" s="2">
        <v>13</v>
      </c>
      <c r="C87" s="3" t="s">
        <v>153</v>
      </c>
      <c r="D87" s="2">
        <v>1</v>
      </c>
      <c r="E87" s="11" t="s">
        <v>286</v>
      </c>
      <c r="F87" s="33" t="s">
        <v>287</v>
      </c>
    </row>
    <row r="88" spans="1:6" ht="22.5" x14ac:dyDescent="0.25">
      <c r="A88" s="30" t="s">
        <v>279</v>
      </c>
      <c r="B88" s="2">
        <v>13</v>
      </c>
      <c r="C88" s="3" t="s">
        <v>153</v>
      </c>
      <c r="D88" s="2">
        <v>1</v>
      </c>
      <c r="E88" s="4" t="s">
        <v>288</v>
      </c>
      <c r="F88" s="31" t="s">
        <v>289</v>
      </c>
    </row>
    <row r="89" spans="1:6" ht="22.5" x14ac:dyDescent="0.25">
      <c r="A89" s="30" t="s">
        <v>279</v>
      </c>
      <c r="B89" s="2">
        <v>13</v>
      </c>
      <c r="C89" s="3" t="s">
        <v>153</v>
      </c>
      <c r="D89" s="2">
        <v>1</v>
      </c>
      <c r="E89" s="21" t="s">
        <v>290</v>
      </c>
      <c r="F89" s="31" t="s">
        <v>291</v>
      </c>
    </row>
    <row r="90" spans="1:6" ht="21" x14ac:dyDescent="0.25">
      <c r="A90" s="9"/>
      <c r="B90" s="6"/>
      <c r="C90" s="7" t="s">
        <v>146</v>
      </c>
      <c r="D90" s="8">
        <v>6</v>
      </c>
      <c r="E90" s="9">
        <v>6</v>
      </c>
      <c r="F90" s="32"/>
    </row>
    <row r="91" spans="1:6" ht="21" x14ac:dyDescent="0.25">
      <c r="A91" s="40"/>
      <c r="B91" s="40"/>
      <c r="C91" s="41" t="s">
        <v>292</v>
      </c>
      <c r="D91" s="42">
        <v>77</v>
      </c>
      <c r="E91" s="43">
        <v>72</v>
      </c>
      <c r="F91" s="4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remote_work</vt:lpstr>
      <vt:lpstr>Для ОПО</vt:lpstr>
      <vt:lpstr>remote_work (отдел кадров)</vt:lpstr>
      <vt:lpstr>Тамерлан (удаленка)</vt:lpstr>
      <vt:lpstr>staffing_table</vt:lpstr>
      <vt:lpstr>staffing_table_source_data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Гудиев Зелимхан Куйраевич</dc:creator>
  <cp:lastModifiedBy>Зелимхан Гудиев</cp:lastModifiedBy>
  <dcterms:created xsi:type="dcterms:W3CDTF">2025-03-04T13:18:47Z</dcterms:created>
  <dcterms:modified xsi:type="dcterms:W3CDTF">2025-04-08T12:16:56Z</dcterms:modified>
</cp:coreProperties>
</file>